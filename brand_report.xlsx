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susan2021\一人maketing\聚品社\"/>
    </mc:Choice>
  </mc:AlternateContent>
  <xr:revisionPtr revIDLastSave="0" documentId="11_2314D0F59DF70896AC55A21AD5CE729C7048EB82" xr6:coauthVersionLast="47" xr6:coauthVersionMax="47" xr10:uidLastSave="{00000000-0000-0000-0000-000000000000}"/>
  <bookViews>
    <workbookView xWindow="-93" yWindow="-93" windowWidth="20186" windowHeight="12800" xr2:uid="{00000000-000D-0000-FFFF-FFFF00000000}"/>
  </bookViews>
  <sheets>
    <sheet name="综合概览" sheetId="1" r:id="rId1"/>
    <sheet name="情感分析" sheetId="2" r:id="rId2"/>
    <sheet name="日趋势" sheetId="3" r:id="rId3"/>
    <sheet name="内容类型与达人" sheetId="4" r:id="rId4"/>
    <sheet name="地域分布" sheetId="5" r:id="rId5"/>
    <sheet name="热门帖子TOP" sheetId="6" r:id="rId6"/>
    <sheet name="舆情洞察" sheetId="7" r:id="rId7"/>
    <sheet name="方法论" sheetId="8" r:id="rId8"/>
  </sheets>
  <calcPr calcId="191029"/>
</workbook>
</file>

<file path=xl/calcChain.xml><?xml version="1.0" encoding="utf-8"?>
<calcChain xmlns="http://schemas.openxmlformats.org/spreadsheetml/2006/main">
  <c r="D23" i="5" l="1"/>
  <c r="D22" i="5"/>
  <c r="D21" i="5"/>
  <c r="D20" i="5"/>
  <c r="D19" i="5"/>
  <c r="D18" i="5"/>
  <c r="D17" i="5"/>
  <c r="D16" i="5"/>
  <c r="D15" i="5"/>
  <c r="D14" i="5"/>
  <c r="D13" i="5"/>
  <c r="D12" i="5"/>
  <c r="D11" i="5"/>
  <c r="D10" i="5"/>
  <c r="D9" i="5"/>
  <c r="D8" i="5"/>
  <c r="D7" i="5"/>
  <c r="D6" i="5"/>
  <c r="D5" i="5"/>
  <c r="D4" i="5"/>
  <c r="D24" i="4"/>
  <c r="D23" i="4"/>
  <c r="C35" i="3"/>
  <c r="B35" i="3"/>
  <c r="E9" i="2"/>
  <c r="E8" i="2"/>
  <c r="E7" i="2"/>
  <c r="E6" i="2"/>
  <c r="E5" i="2"/>
  <c r="E4" i="2"/>
  <c r="C28" i="1"/>
  <c r="C27" i="1"/>
  <c r="C26" i="1"/>
  <c r="D15" i="1"/>
  <c r="D14" i="1"/>
  <c r="D13" i="1"/>
  <c r="D12" i="1"/>
  <c r="D11" i="1"/>
  <c r="D10" i="1"/>
  <c r="D9" i="1"/>
  <c r="D8" i="1"/>
  <c r="D7" i="1"/>
</calcChain>
</file>

<file path=xl/sharedStrings.xml><?xml version="1.0" encoding="utf-8"?>
<sst xmlns="http://schemas.openxmlformats.org/spreadsheetml/2006/main" count="410" uniqueCount="280">
  <si>
    <t>昊来了 品牌社交媒体表现分析报告</t>
  </si>
  <si>
    <t>分析周期</t>
  </si>
  <si>
    <t>2026-06-30 至 2026-07-30</t>
  </si>
  <si>
    <t>数据来源</t>
  </si>
  <si>
    <t>DataTap 聆媒洞察 MCP (小红书 + 抖音)</t>
  </si>
  <si>
    <t>搜索方式</t>
  </si>
  <si>
    <t>关键词搜索: "昊来了"</t>
  </si>
  <si>
    <t>指标</t>
  </si>
  <si>
    <t>小红书</t>
  </si>
  <si>
    <t>抖音</t>
  </si>
  <si>
    <t>合计</t>
  </si>
  <si>
    <t>声量(帖数)</t>
  </si>
  <si>
    <t>互动数</t>
  </si>
  <si>
    <t>用户数</t>
  </si>
  <si>
    <t>阅读/播放数</t>
  </si>
  <si>
    <t>点赞数</t>
  </si>
  <si>
    <t>评论数</t>
  </si>
  <si>
    <t>收藏数</t>
  </si>
  <si>
    <t>转发/分享数</t>
  </si>
  <si>
    <t>情感指数</t>
  </si>
  <si>
    <t>环比与同比变化 (双平台合计)</t>
  </si>
  <si>
    <t>当期值</t>
  </si>
  <si>
    <t>环比变化</t>
  </si>
  <si>
    <t>同比变化</t>
  </si>
  <si>
    <t>声量</t>
  </si>
  <si>
    <t>声量构成</t>
  </si>
  <si>
    <t>类别</t>
  </si>
  <si>
    <t>占比</t>
  </si>
  <si>
    <t>正面声量</t>
  </si>
  <si>
    <t>中性声量</t>
  </si>
  <si>
    <t>负面声量</t>
  </si>
  <si>
    <t>内容情感分布 (按平台)</t>
  </si>
  <si>
    <t>平台</t>
  </si>
  <si>
    <t>情感</t>
  </si>
  <si>
    <t>正面</t>
  </si>
  <si>
    <t>中性</t>
  </si>
  <si>
    <t>负面</t>
  </si>
  <si>
    <t>关键发现</t>
  </si>
  <si>
    <t>1. 品牌整体情感倾向积极, 双平台情感指数均&gt;0.85</t>
  </si>
  <si>
    <t>2. 小红书正面占比43.1%, 高于抖音的37.1%</t>
  </si>
  <si>
    <t>3. 抖音负面声量仅54条(3.4%), 远低于小红书的140条(7.9%)</t>
  </si>
  <si>
    <t>4. 小红书负面中, 真正品牌负面仅1条(沈阳店缩水), 其余为噪音误判</t>
  </si>
  <si>
    <t>5. 用户好评集中点: 川派创意寿司(脑花/毛肚)、鹅肝系列、一口饭系列、板前现做体验</t>
  </si>
  <si>
    <t>6. 用户槽点: 个别门店排队久、少数门店出品稳定性(缩水)</t>
  </si>
  <si>
    <t>每日声量与互动趋势 (2026-06-30 至 2026-07-30)</t>
  </si>
  <si>
    <t>日期</t>
  </si>
  <si>
    <t>备注</t>
  </si>
  <si>
    <t>2026-06-30</t>
  </si>
  <si>
    <t>2026-07-01</t>
  </si>
  <si>
    <t>互动高峰-抖音爆款美食合集</t>
  </si>
  <si>
    <t>2026-07-02</t>
  </si>
  <si>
    <t>李昊(明星)内容引发高互动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</si>
  <si>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</si>
  <si>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</si>
  <si>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</si>
  <si>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</si>
  <si>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</si>
  <si>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</si>
  <si>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</si>
  <si>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</si>
  <si>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</si>
  <si>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</si>
  <si>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</si>
  <si>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声量峰值-多城新店开业</t>
  </si>
  <si>
    <t>2026-07-14</t>
  </si>
  <si>
    <t>2026-07-15</t>
  </si>
  <si>
    <t>2026-07-16</t>
  </si>
  <si>
    <t>2026-07-17</t>
  </si>
  <si>
    <t>声量最高-暑期探店高峰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</si>
  <si>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</si>
  <si>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</si>
  <si>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</si>
  <si>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</si>
  <si>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</si>
  <si>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</si>
  <si>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</si>
  <si>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声量开始下降</t>
  </si>
  <si>
    <t>2026-07-25</t>
  </si>
  <si>
    <t>2026-07-26</t>
  </si>
  <si>
    <t>2026-07-27</t>
  </si>
  <si>
    <t>2026-07-28</t>
  </si>
  <si>
    <t>2026-07-29</t>
  </si>
  <si>
    <t>2026-07-30</t>
  </si>
  <si>
    <t>数据截至当日, 不完整</t>
  </si>
  <si>
    <t>内容类型分布</t>
  </si>
  <si>
    <t>内容类型</t>
  </si>
  <si>
    <t>阅读数</t>
  </si>
  <si>
    <t>探店</t>
  </si>
  <si>
    <t>攻略</t>
  </si>
  <si>
    <t>测评</t>
  </si>
  <si>
    <t>沉浸式</t>
  </si>
  <si>
    <t>Vlog</t>
  </si>
  <si>
    <t>Plog</t>
  </si>
  <si>
    <t>教程</t>
  </si>
  <si>
    <t>经验</t>
  </si>
  <si>
    <t>混剪</t>
  </si>
  <si>
    <t>达人层级分布 (品牌相关内容)</t>
  </si>
  <si>
    <t>达人层级</t>
  </si>
  <si>
    <t>头部(50w+)</t>
  </si>
  <si>
    <t>中部(5w-50w)</t>
  </si>
  <si>
    <t>尾部(1w-5w)</t>
  </si>
  <si>
    <t>素人/UGC</t>
  </si>
  <si>
    <t>商单 vs 自然内容</t>
  </si>
  <si>
    <t>类型</t>
  </si>
  <si>
    <t>自然内容(非商单)</t>
  </si>
  <si>
    <t>商单内容</t>
  </si>
  <si>
    <t>发帖用户地域分布 TOP 20</t>
  </si>
  <si>
    <t>省份</t>
  </si>
  <si>
    <t>声量占比</t>
  </si>
  <si>
    <t>广东省</t>
  </si>
  <si>
    <t>江苏省</t>
  </si>
  <si>
    <t>浙江省</t>
  </si>
  <si>
    <t>安徽省</t>
  </si>
  <si>
    <t>福建省</t>
  </si>
  <si>
    <t>辽宁省</t>
  </si>
  <si>
    <t>天津市</t>
  </si>
  <si>
    <t>山东省</t>
  </si>
  <si>
    <t>湖北省</t>
  </si>
  <si>
    <t>河南省</t>
  </si>
  <si>
    <t>四川省</t>
  </si>
  <si>
    <t>江西省</t>
  </si>
  <si>
    <t>湖南省</t>
  </si>
  <si>
    <t>广西壮族自治区</t>
  </si>
  <si>
    <t>河北省</t>
  </si>
  <si>
    <t>北京市</t>
  </si>
  <si>
    <t>上海市</t>
  </si>
  <si>
    <t>新疆维吾尔自治区</t>
  </si>
  <si>
    <t>云南省</t>
  </si>
  <si>
    <t>陕西省</t>
  </si>
  <si>
    <t>小红书热门帖子 TOP 15 (品牌相关, 按互动数排序)</t>
  </si>
  <si>
    <t>排名</t>
  </si>
  <si>
    <t>标题</t>
  </si>
  <si>
    <t>用户昵称</t>
  </si>
  <si>
    <t>点赞</t>
  </si>
  <si>
    <t>评论</t>
  </si>
  <si>
    <t>收藏</t>
  </si>
  <si>
    <t>转发</t>
  </si>
  <si>
    <t>坐标📍景德镇，想喝不一样的奶茶</t>
  </si>
  <si>
    <t>花仙子日记</t>
  </si>
  <si>
    <t>尾部</t>
  </si>
  <si>
    <t>扬州樊霄在京华城昊来了捏寿司🍱！</t>
  </si>
  <si>
    <t>小美子大人每天都要很开心</t>
  </si>
  <si>
    <t>古茗就位！雨花万象天地三大顶流茶饮齐聚</t>
  </si>
  <si>
    <t>发现南京</t>
  </si>
  <si>
    <t>川味与日料的浪漫碰撞</t>
  </si>
  <si>
    <t>古典猫</t>
  </si>
  <si>
    <t>古茗“鲜享店”等多家首店亮相雨花万象天地</t>
  </si>
  <si>
    <t>商业图志CRCth</t>
  </si>
  <si>
    <t>川派寿司「昊·来了」终于要开了！</t>
  </si>
  <si>
    <t>扬州京华城全生活广场</t>
  </si>
  <si>
    <t>昊来了·寿司首店入驻娄底</t>
  </si>
  <si>
    <t>娄底城市商业与建设</t>
  </si>
  <si>
    <t>（惠州）敲适合一人食的板前料理🍱🥢</t>
  </si>
  <si>
    <t>草莓酱汁</t>
  </si>
  <si>
    <t>惠州风很大的昊来了🍣附带点单推荐！</t>
  </si>
  <si>
    <t>我是硬狮子（置顶无需攒）</t>
  </si>
  <si>
    <t>本J人总结的景德镇旅游攻略已经next level</t>
  </si>
  <si>
    <t>西西爱吃肉🥩</t>
  </si>
  <si>
    <t>昊来了寿司从夯到拉排名！！（纯主观</t>
  </si>
  <si>
    <t>茶杏丸丸</t>
  </si>
  <si>
    <t>舟山首家！！舟山首家！！</t>
  </si>
  <si>
    <t>昊来了寿司🍣舟山</t>
  </si>
  <si>
    <t>扬州西区！新开的！！真的好好吃啊🍣</t>
  </si>
  <si>
    <t>老baby🐴</t>
  </si>
  <si>
    <t>7.21刚从景德镇回来，说几句实在话。。</t>
  </si>
  <si>
    <t>小丸子旅行记</t>
  </si>
  <si>
    <t>芜湖首家！！终于吃上了！！。银泰inPARK新店！！</t>
  </si>
  <si>
    <t>玉籽酱-</t>
  </si>
  <si>
    <t>抖音热门帖子 TOP 15 (品牌相关, 按互动数排序)</t>
  </si>
  <si>
    <t>七月，我们来了！！@海底捞火锅 @小菜园新徽菜 @必胜客 @肯德基 @麦当劳 @米村拌饭 @萨莉亚总部客服 @喜姐炸串加</t>
  </si>
  <si>
    <t>加一份奶霜</t>
  </si>
  <si>
    <t>昊来了寿司🍣测评第二弹，有好吃有踩雷，一起看看吧#日料爱好者 #沈阳寿司 #沈阳日料</t>
  </si>
  <si>
    <t>珂珂今天去哪吃</t>
  </si>
  <si>
    <t>109套餐太划算了环境也好#昊来了寿司 #天津日料 #川派寿司 #烧烤</t>
  </si>
  <si>
    <t>毛毛妈妈</t>
  </si>
  <si>
    <t>中部</t>
  </si>
  <si>
    <t>昊来了开来莆田城厢万达啦 #昊来了寿司 #莆田昊来了寿司</t>
  </si>
  <si>
    <t>是你晕爷</t>
  </si>
  <si>
    <t>我哥就这样用心宣传《雀骨》，线下直接发🥝会员😭😭😭我宣布侯明昊就是天使！我要成为我哥的死士了！这个《雀骨》要看100遍！</t>
  </si>
  <si>
    <t>O泡果奶🥝（看萧无衣版）</t>
  </si>
  <si>
    <t>大学生下课花3️⃣位数在昊来了爽吃是一种什么样的体验 #昊来了#长沙昊来了 #昊来了寿司 #抖音美食创作人 #德思勤美食</t>
  </si>
  <si>
    <t>麦当当🥛</t>
  </si>
  <si>
    <t>景德镇会惩罚每一个不做攻略的人！😭。如果有计划暑假去景德镇的uu，一定把这篇看完！ 我回来之后最大的感受就是： 景德镇真</t>
  </si>
  <si>
    <t>iu3o3</t>
  </si>
  <si>
    <t>今日测评长虹路民发4楼的 昊来了 寿司#昊来了寿司</t>
  </si>
  <si>
    <t>吃吃吃的睿宝</t>
  </si>
  <si>
    <t>沈阳昊来了寿司测评第三弹，一共有17款，包括鹅肝寿司系列、奶冻寿司系列、川派寿司系列、一口饭系列等等，快来看看有没有你感</t>
  </si>
  <si>
    <t>赵梨子</t>
  </si>
  <si>
    <t>109鲁能城吃昊来了寿司套餐太合适了都是高品质太好吃了@DOU+小助手 #需要大声安利的烟火气美食#心动团圆饭#心动榜餐</t>
  </si>
  <si>
    <t>不凡</t>
  </si>
  <si>
    <t>芜湖也有啦！昊来了！一人食好chill🥢 #昊来了寿司 #芜湖银泰新店 #芜湖步行街美食#芜湖美食#芜湖寿司</t>
  </si>
  <si>
    <t>派派</t>
  </si>
  <si>
    <t>柯桥新开超新奇的川味寿司88代100代金券速抢 #川味寿司 #绍兴美食 #昊来了寿司</t>
  </si>
  <si>
    <t>K531</t>
  </si>
  <si>
    <t>毛肚 皮蛋 脑花 这些居然都被四川人做成了寿司❓#昊来了寿司 #惠州探店 #川派寿司 #惠州美食 #猎奇美食</t>
  </si>
  <si>
    <t>徒手撕猛虎</t>
  </si>
  <si>
    <t>莆田神奇的小店，做中式创意寿司#莆田美食 #日料推荐 #昊寿司 #昊来了寿司</t>
  </si>
  <si>
    <t>章鱼哥饿了</t>
  </si>
  <si>
    <t>昊来了寿司也开来莆田万达了！</t>
  </si>
  <si>
    <t>乐桃桃</t>
  </si>
  <si>
    <t>舆情洞察与内容主题分析</t>
  </si>
  <si>
    <t>用户好评集中点</t>
  </si>
  <si>
    <t>好评维度</t>
  </si>
  <si>
    <t>具体表现</t>
  </si>
  <si>
    <t>代表帖子特征</t>
  </si>
  <si>
    <t>川派创意口味</t>
  </si>
  <si>
    <t>脑花寿司、毛肚寿司、皮蛋三文鱼等创新口味, "刷新对日料的认知"</t>
  </si>
  <si>
    <t>探店测评类</t>
  </si>
  <si>
    <t>鹅肝系列</t>
  </si>
  <si>
    <t>焦糖鹅肝/咖啡鹅肝/黑松露鹅肝, "入口即化""绵密""奶香浓"</t>
  </si>
  <si>
    <t>单品推荐类</t>
  </si>
  <si>
    <t>一口饭系列</t>
  </si>
  <si>
    <t>料比饭多、造型可爱、适合小饭量女生每种口味都能尝到</t>
  </si>
  <si>
    <t>点单攻略类</t>
  </si>
  <si>
    <t>板前现做体验</t>
  </si>
  <si>
    <t>"帅哥现做""颜值太顶""寿司上桌还是热乎的"</t>
  </si>
  <si>
    <t>沉浸式体验类</t>
  </si>
  <si>
    <t>一人食友好</t>
  </si>
  <si>
    <t>多次被标注为"一人食好去处", 板前座位适合独食</t>
  </si>
  <si>
    <t>场景推荐类</t>
  </si>
  <si>
    <t>性价比</t>
  </si>
  <si>
    <t>"平价omakase""人均100吃到撑"</t>
  </si>
  <si>
    <t>价格对比类</t>
  </si>
  <si>
    <t>冰淇淋/甜品寿司</t>
  </si>
  <si>
    <t>冰淇淋寿司、榴莲芝士等创意甜品款夏天好评度高</t>
  </si>
  <si>
    <t>夏季推荐类</t>
  </si>
  <si>
    <t>用户槽点与负面反馈</t>
  </si>
  <si>
    <t>问题类型</t>
  </si>
  <si>
    <t>描述</t>
  </si>
  <si>
    <t>影响程度</t>
  </si>
  <si>
    <t>个别门店出品缩水</t>
  </si>
  <si>
    <t>沈阳店被反映寿司尺寸明显缩小, 质疑偷工减料</t>
  </si>
  <si>
    <t>低(仅1条真实投诉)</t>
  </si>
  <si>
    <t>排队等位久</t>
  </si>
  <si>
    <t>郑州等城市门店排队严重, 影响用餐体验</t>
  </si>
  <si>
    <t>中(间接负面, 说明人气旺)</t>
  </si>
  <si>
    <t>门店一致性</t>
  </si>
  <si>
    <t>不同城市门店出品标准可能存在差异</t>
  </si>
  <si>
    <t>低(需持续关注)</t>
  </si>
  <si>
    <t>品牌扩张信号</t>
  </si>
  <si>
    <t>信号</t>
  </si>
  <si>
    <t>详情</t>
  </si>
  <si>
    <t>多城新店开业</t>
  </si>
  <si>
    <t>舟山、芜湖银泰、娄底吾悦、莆田万达等出现"XX首家"类帖子</t>
  </si>
  <si>
    <t>品牌官方运营活跃</t>
  </si>
  <si>
    <t>石家庄、郑州、舟山、宿州、惠州等城市门店号在做内测招募和开业宣传</t>
  </si>
  <si>
    <t>全国覆盖20+城市</t>
  </si>
  <si>
    <t>扬州、长沙、广州、惠州、青岛、郑州、沈阳、景德镇、舟山等</t>
  </si>
  <si>
    <t>旅游攻略植入</t>
  </si>
  <si>
    <t>景德镇陶溪川店频繁出现在旅游攻略中, 已成为"景德镇必吃"标签</t>
  </si>
  <si>
    <t>粉色主题店</t>
  </si>
  <si>
    <t>广州嘉裕太阳城粉色主题店获得女性用户关注</t>
  </si>
  <si>
    <t>噪音说明</t>
  </si>
  <si>
    <t>关键词"昊来了"与明星"李昊来了"(十个勤天成员)存在碰撞。小红书噪音约1条(占比1%), 抖音噪音占比约10-15%。</t>
  </si>
  <si>
    <t>本报告数据已剔除明星噪音, 仅保留品牌相关内容。</t>
  </si>
  <si>
    <t>数据说明与方法论</t>
  </si>
  <si>
    <t>项目</t>
  </si>
  <si>
    <t>说明</t>
  </si>
  <si>
    <t>DataTap 聆媒洞察 MCP (insight-cube-mcp)</t>
  </si>
  <si>
    <t>数据工具</t>
  </si>
  <si>
    <t>social_statistic_overview (整体概览)
query_analysis_data (多维分析)
query_raw_posts (原帖明细)</t>
  </si>
  <si>
    <t>关键词搜索 (target_type=keyword, anys=[["昊来了"]])</t>
  </si>
  <si>
    <t>时间范围</t>
  </si>
  <si>
    <t>2026-06-30 00:00:00 至 2026-07-30 23:59:59 (最近31天)</t>
  </si>
  <si>
    <t>数据平台</t>
  </si>
  <si>
    <t>小红书、抖音(短视频)</t>
  </si>
  <si>
    <t>原帖采样</t>
  </si>
  <si>
    <t>按互动数排序, 每平台取TOP 100条进行内容分析</t>
  </si>
  <si>
    <t>情感分类</t>
  </si>
  <si>
    <t>DataTap AI情感标注 (正面/中性/负面), 情感指数范围0-1</t>
  </si>
  <si>
    <t>噪音处理</t>
  </si>
  <si>
    <t>通过内容主题和关键词过滤"李昊"(明星)相关噪音帖子</t>
  </si>
  <si>
    <t>环比定义</t>
  </si>
  <si>
    <t>与上一个同等时长周期(前31天)对比</t>
  </si>
  <si>
    <t>同比定义</t>
  </si>
  <si>
    <t>与去年同期(2025年6月30日-7月30日)对比</t>
  </si>
  <si>
    <t>局限性</t>
  </si>
  <si>
    <t>1. 关键词搜索可能遗漏未直接提及"昊来了"的内容
2. 情感标注为AI自动分类, 存在少量误判
3. 抖音数据因"李昊"噪音占比略高
4. 品牌未在DataTap注册品牌标签, 无法使用tag模式精确查询
5. 7月30日数据不完整</t>
  </si>
  <si>
    <t>报告生成</t>
  </si>
  <si>
    <t>Python openpyxl + DataTap MCP API, 2026-07-30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</si>
</sst>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0.0000"/>
  </numFmts>
  <fonts count="16" x14ac:knownFonts="1">
    <font>
      <sz val="11"/>
      <color theme="1"/>
      <name val="宋体"/>
      <family val="2"/>
      <scheme val="minor"/>
    </font>
    <font>
      <b/>
      <sz val="16"/>
      <color rgb="FF0984E3"/>
      <name val="Arial"/>
      <family val="2"/>
    </font>
    <font>
      <b/>
      <sz val="10"/>
      <color rgb="FF2D3436"/>
      <name val="Arial"/>
      <family val="2"/>
    </font>
    <font>
      <sz val="10"/>
      <name val="Arial"/>
      <family val="2"/>
    </font>
    <font>
      <b/>
      <sz val="11"/>
      <color rgb="FFFFFFFF"/>
      <name val="Arial"/>
      <family val="2"/>
    </font>
    <font>
      <b/>
      <sz val="12"/>
      <color rgb="FF0984E3"/>
      <name val="Arial"/>
      <family val="2"/>
    </font>
    <font>
      <b/>
      <sz val="14"/>
      <color rgb="FF00B894"/>
      <name val="Arial"/>
      <family val="2"/>
    </font>
    <font>
      <b/>
      <sz val="12"/>
      <color rgb="FF00B894"/>
      <name val="Arial"/>
      <family val="2"/>
    </font>
    <font>
      <sz val="10"/>
      <color rgb="FF636E72"/>
      <name val="Arial"/>
      <family val="2"/>
    </font>
    <font>
      <b/>
      <sz val="14"/>
      <color rgb="FFE17055"/>
      <name val="Arial"/>
      <family val="2"/>
    </font>
    <font>
      <b/>
      <sz val="14"/>
      <color rgb="FF0984E3"/>
      <name val="Arial"/>
      <family val="2"/>
    </font>
    <font>
      <b/>
      <sz val="14"/>
      <color rgb="FF6C5CE7"/>
      <name val="Arial"/>
      <family val="2"/>
    </font>
    <font>
      <b/>
      <sz val="14"/>
      <color rgb="FFD63031"/>
      <name val="Arial"/>
      <family val="2"/>
    </font>
    <font>
      <b/>
      <sz val="14"/>
      <color rgb="FFA29BFE"/>
      <name val="Arial"/>
      <family val="2"/>
    </font>
    <font>
      <b/>
      <sz val="14"/>
      <color rgb="FF636E72"/>
      <name val="Arial"/>
      <family val="2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D3436"/>
      </patternFill>
    </fill>
  </fills>
  <borders count="2">
    <border>
      <left/>
      <right/>
      <top/>
      <bottom/>
      <diagonal/>
    </border>
    <border>
      <left style="thin">
        <color rgb="FFDFE6E9"/>
      </left>
      <right style="thin">
        <color rgb="FFDFE6E9"/>
      </right>
      <top style="thin">
        <color rgb="FFDFE6E9"/>
      </top>
      <bottom style="thin">
        <color rgb="FFDFE6E9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/>
    <xf numFmtId="0" fontId="3" fillId="0" borderId="0" xfId="0" applyFont="1"/>
    <xf numFmtId="0" fontId="4" fillId="2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vertical="center" wrapText="1"/>
    </xf>
    <xf numFmtId="3" fontId="3" fillId="0" borderId="1" xfId="0" applyNumberFormat="1" applyFont="1" applyBorder="1" applyAlignment="1">
      <alignment vertical="center" wrapText="1"/>
    </xf>
    <xf numFmtId="2" fontId="3" fillId="0" borderId="1" xfId="0" applyNumberFormat="1" applyFont="1" applyBorder="1" applyAlignment="1">
      <alignment vertical="center" wrapText="1"/>
    </xf>
    <xf numFmtId="176" fontId="3" fillId="0" borderId="1" xfId="0" applyNumberFormat="1" applyFont="1" applyBorder="1" applyAlignment="1">
      <alignment vertical="center" wrapText="1"/>
    </xf>
    <xf numFmtId="177" fontId="3" fillId="0" borderId="1" xfId="0" applyNumberFormat="1" applyFont="1" applyBorder="1" applyAlignment="1">
      <alignment vertical="center" wrapText="1"/>
    </xf>
    <xf numFmtId="0" fontId="8" fillId="0" borderId="0" xfId="0" applyFont="1"/>
    <xf numFmtId="3" fontId="0" fillId="0" borderId="0" xfId="0" applyNumberFormat="1"/>
    <xf numFmtId="0" fontId="5" fillId="0" borderId="0" xfId="0" applyFont="1"/>
    <xf numFmtId="0" fontId="0" fillId="0" borderId="0" xfId="0"/>
    <xf numFmtId="0" fontId="1" fillId="0" borderId="0" xfId="0" applyFont="1" applyAlignment="1">
      <alignment horizontal="center"/>
    </xf>
    <xf numFmtId="0" fontId="7" fillId="0" borderId="0" xfId="0" applyFont="1"/>
    <xf numFmtId="0" fontId="6" fillId="0" borderId="0" xfId="0" applyFont="1"/>
    <xf numFmtId="0" fontId="9" fillId="0" borderId="0" xfId="0" applyFont="1"/>
    <xf numFmtId="0" fontId="10" fillId="0" borderId="0" xfId="0" applyFont="1"/>
    <xf numFmtId="0" fontId="11" fillId="0" borderId="0" xfId="0" applyFont="1"/>
    <xf numFmtId="0" fontId="12" fillId="0" borderId="0" xfId="0" applyFont="1"/>
    <xf numFmtId="0" fontId="13" fillId="0" borderId="0" xfId="0" applyFont="1"/>
    <xf numFmtId="0" fontId="14" fillId="0" borderId="0" xfId="0" applyFont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每日声量趋势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日趋势!$B$3</c:f>
              <c:strCache>
                <c:ptCount val="1"/>
                <c:pt idx="0">
                  <c:v>声量</c:v>
                </c:pt>
              </c:strCache>
            </c:strRef>
          </c:tx>
          <c:spPr>
            <a:ln w="22000">
              <a:prstDash val="solid"/>
            </a:ln>
          </c:spPr>
          <c:marker>
            <c:symbol val="none"/>
          </c:marker>
          <c:cat>
            <c:strRef>
              <c:f>日趋势!$A$4:$A$34</c:f>
              <c:strCache>
                <c:ptCount val="31"/>
                <c:pt idx="0">
                  <c:v>2026-06-30</c:v>
                </c:pt>
                <c:pt idx="1">
                  <c:v>2026-07-01</c:v>
                </c:pt>
                <c:pt idx="2">
                  <c:v>2026-07-02</c:v>
                </c:pt>
                <c:pt idx="3">
                  <c:v>2026-07-03</c:v>
                </c:pt>
                <c:pt idx="4">
                  <c:v>2026-07-04</c:v>
                </c:pt>
                <c:pt idx="5">
                  <c:v>2026-07-05</c:v>
                </c:pt>
                <c:pt idx="6">
                  <c:v>2026-07-06</c:v>
                </c:pt>
                <c:pt idx="7">
                  <c:v>2026-07-07</c:v>
                </c:pt>
                <c:pt idx="8">
                  <c:v>2026-07-08</c:v>
                </c:pt>
                <c:pt idx="9">
                  <c:v>2026-07-09</c:v>
                </c:pt>
                <c:pt idx="10">
                  <c:v>2026-07-10</c:v>
                </c:pt>
                <c:pt idx="11">
                  <c:v>2026-07-11</c:v>
                </c:pt>
                <c:pt idx="12">
                  <c:v>2026-07-12</c:v>
                </c:pt>
                <c:pt idx="13">
                  <c:v>2026-07-13</c:v>
                </c:pt>
                <c:pt idx="14">
                  <c:v>2026-07-14</c:v>
                </c:pt>
                <c:pt idx="15">
                  <c:v>2026-07-15</c:v>
                </c:pt>
                <c:pt idx="16">
                  <c:v>2026-07-16</c:v>
                </c:pt>
                <c:pt idx="17">
                  <c:v>2026-07-17</c:v>
                </c:pt>
                <c:pt idx="18">
                  <c:v>2026-07-18</c:v>
                </c:pt>
                <c:pt idx="19">
                  <c:v>2026-07-19</c:v>
                </c:pt>
                <c:pt idx="20">
                  <c:v>2026-07-20</c:v>
                </c:pt>
                <c:pt idx="21">
                  <c:v>2026-07-21</c:v>
                </c:pt>
                <c:pt idx="22">
                  <c:v>2026-07-22</c:v>
                </c:pt>
                <c:pt idx="23">
                  <c:v>2026-07-23</c:v>
                </c:pt>
                <c:pt idx="24">
                  <c:v>2026-07-24</c:v>
                </c:pt>
                <c:pt idx="25">
                  <c:v>2026-07-25</c:v>
                </c:pt>
                <c:pt idx="26">
                  <c:v>2026-07-26</c:v>
                </c:pt>
                <c:pt idx="27">
                  <c:v>2026-07-27</c:v>
                </c:pt>
                <c:pt idx="28">
                  <c:v>2026-07-28</c:v>
                </c:pt>
                <c:pt idx="29">
                  <c:v>2026-07-29</c:v>
                </c:pt>
                <c:pt idx="30">
                  <c:v>2026-07-30</c:v>
                </c:pt>
              </c:strCache>
            </c:strRef>
          </c:cat>
          <c:val>
            <c:numRef>
              <c:f>日趋势!$B$4:$B$34</c:f>
              <c:numCache>
                <c:formatCode>General</c:formatCode>
                <c:ptCount val="31"/>
                <c:pt idx="0">
                  <c:v>76</c:v>
                </c:pt>
                <c:pt idx="1">
                  <c:v>107</c:v>
                </c:pt>
                <c:pt idx="2">
                  <c:v>121</c:v>
                </c:pt>
                <c:pt idx="3">
                  <c:v>138</c:v>
                </c:pt>
                <c:pt idx="4">
                  <c:v>110</c:v>
                </c:pt>
                <c:pt idx="5">
                  <c:v>120</c:v>
                </c:pt>
                <c:pt idx="6">
                  <c:v>109</c:v>
                </c:pt>
                <c:pt idx="7">
                  <c:v>122</c:v>
                </c:pt>
                <c:pt idx="8">
                  <c:v>95</c:v>
                </c:pt>
                <c:pt idx="9">
                  <c:v>112</c:v>
                </c:pt>
                <c:pt idx="10">
                  <c:v>110</c:v>
                </c:pt>
                <c:pt idx="11">
                  <c:v>97</c:v>
                </c:pt>
                <c:pt idx="12">
                  <c:v>98</c:v>
                </c:pt>
                <c:pt idx="13">
                  <c:v>143</c:v>
                </c:pt>
                <c:pt idx="14">
                  <c:v>129</c:v>
                </c:pt>
                <c:pt idx="15">
                  <c:v>135</c:v>
                </c:pt>
                <c:pt idx="16">
                  <c:v>118</c:v>
                </c:pt>
                <c:pt idx="17">
                  <c:v>172</c:v>
                </c:pt>
                <c:pt idx="18">
                  <c:v>128</c:v>
                </c:pt>
                <c:pt idx="19">
                  <c:v>127</c:v>
                </c:pt>
                <c:pt idx="20">
                  <c:v>115</c:v>
                </c:pt>
                <c:pt idx="21">
                  <c:v>98</c:v>
                </c:pt>
                <c:pt idx="22">
                  <c:v>83</c:v>
                </c:pt>
                <c:pt idx="23">
                  <c:v>109</c:v>
                </c:pt>
                <c:pt idx="24">
                  <c:v>81</c:v>
                </c:pt>
                <c:pt idx="25">
                  <c:v>81</c:v>
                </c:pt>
                <c:pt idx="26">
                  <c:v>104</c:v>
                </c:pt>
                <c:pt idx="27">
                  <c:v>88</c:v>
                </c:pt>
                <c:pt idx="28">
                  <c:v>102</c:v>
                </c:pt>
                <c:pt idx="29">
                  <c:v>75</c:v>
                </c:pt>
                <c:pt idx="30">
                  <c:v>49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ABD8-4DB8-9199-810EE557037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日期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声量</a:t>
                </a:r>
                <a:r>
                  <a:rPr lang="en-US" altLang="zh-CN"/>
                  <a:t>(</a:t>
                </a:r>
                <a:r>
                  <a:rPr lang="zh-CN" altLang="en-US"/>
                  <a:t>帖数</a:t>
                </a:r>
                <a:r>
                  <a:rPr lang="en-US" altLang="zh-CN"/>
                  <a:t>)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zh-CN" altLang="en-US"/>
              <a:t>每日互动数趋势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strRef>
              <c:f>日趋势!$C$3</c:f>
              <c:strCache>
                <c:ptCount val="1"/>
                <c:pt idx="0">
                  <c:v>互动数</c:v>
                </c:pt>
              </c:strCache>
            </c:strRef>
          </c:tx>
          <c:spPr>
            <a:ln w="22000">
              <a:prstDash val="solid"/>
            </a:ln>
          </c:spPr>
          <c:marker>
            <c:symbol val="none"/>
          </c:marker>
          <c:cat>
            <c:strRef>
              <c:f>日趋势!$A$4:$A$34</c:f>
              <c:strCache>
                <c:ptCount val="31"/>
                <c:pt idx="0">
                  <c:v>2026-06-30</c:v>
                </c:pt>
                <c:pt idx="1">
                  <c:v>2026-07-01</c:v>
                </c:pt>
                <c:pt idx="2">
                  <c:v>2026-07-02</c:v>
                </c:pt>
                <c:pt idx="3">
                  <c:v>2026-07-03</c:v>
                </c:pt>
                <c:pt idx="4">
                  <c:v>2026-07-04</c:v>
                </c:pt>
                <c:pt idx="5">
                  <c:v>2026-07-05</c:v>
                </c:pt>
                <c:pt idx="6">
                  <c:v>2026-07-06</c:v>
                </c:pt>
                <c:pt idx="7">
                  <c:v>2026-07-07</c:v>
                </c:pt>
                <c:pt idx="8">
                  <c:v>2026-07-08</c:v>
                </c:pt>
                <c:pt idx="9">
                  <c:v>2026-07-09</c:v>
                </c:pt>
                <c:pt idx="10">
                  <c:v>2026-07-10</c:v>
                </c:pt>
                <c:pt idx="11">
                  <c:v>2026-07-11</c:v>
                </c:pt>
                <c:pt idx="12">
                  <c:v>2026-07-12</c:v>
                </c:pt>
                <c:pt idx="13">
                  <c:v>2026-07-13</c:v>
                </c:pt>
                <c:pt idx="14">
                  <c:v>2026-07-14</c:v>
                </c:pt>
                <c:pt idx="15">
                  <c:v>2026-07-15</c:v>
                </c:pt>
                <c:pt idx="16">
                  <c:v>2026-07-16</c:v>
                </c:pt>
                <c:pt idx="17">
                  <c:v>2026-07-17</c:v>
                </c:pt>
                <c:pt idx="18">
                  <c:v>2026-07-18</c:v>
                </c:pt>
                <c:pt idx="19">
                  <c:v>2026-07-19</c:v>
                </c:pt>
                <c:pt idx="20">
                  <c:v>2026-07-20</c:v>
                </c:pt>
                <c:pt idx="21">
                  <c:v>2026-07-21</c:v>
                </c:pt>
                <c:pt idx="22">
                  <c:v>2026-07-22</c:v>
                </c:pt>
                <c:pt idx="23">
                  <c:v>2026-07-23</c:v>
                </c:pt>
                <c:pt idx="24">
                  <c:v>2026-07-24</c:v>
                </c:pt>
                <c:pt idx="25">
                  <c:v>2026-07-25</c:v>
                </c:pt>
                <c:pt idx="26">
                  <c:v>2026-07-26</c:v>
                </c:pt>
                <c:pt idx="27">
                  <c:v>2026-07-27</c:v>
                </c:pt>
                <c:pt idx="28">
                  <c:v>2026-07-28</c:v>
                </c:pt>
                <c:pt idx="29">
                  <c:v>2026-07-29</c:v>
                </c:pt>
                <c:pt idx="30">
                  <c:v>2026-07-30</c:v>
                </c:pt>
              </c:strCache>
            </c:strRef>
          </c:cat>
          <c:val>
            <c:numRef>
              <c:f>日趋势!$C$4:$C$34</c:f>
              <c:numCache>
                <c:formatCode>#,##0</c:formatCode>
                <c:ptCount val="31"/>
                <c:pt idx="0">
                  <c:v>3246</c:v>
                </c:pt>
                <c:pt idx="1">
                  <c:v>87004</c:v>
                </c:pt>
                <c:pt idx="2">
                  <c:v>32211</c:v>
                </c:pt>
                <c:pt idx="3">
                  <c:v>13184</c:v>
                </c:pt>
                <c:pt idx="4">
                  <c:v>5550</c:v>
                </c:pt>
                <c:pt idx="5">
                  <c:v>6121</c:v>
                </c:pt>
                <c:pt idx="6">
                  <c:v>4516</c:v>
                </c:pt>
                <c:pt idx="7">
                  <c:v>1133</c:v>
                </c:pt>
                <c:pt idx="8">
                  <c:v>2420</c:v>
                </c:pt>
                <c:pt idx="9">
                  <c:v>18834</c:v>
                </c:pt>
                <c:pt idx="10">
                  <c:v>3488</c:v>
                </c:pt>
                <c:pt idx="11">
                  <c:v>2201</c:v>
                </c:pt>
                <c:pt idx="12">
                  <c:v>17636</c:v>
                </c:pt>
                <c:pt idx="13">
                  <c:v>12049</c:v>
                </c:pt>
                <c:pt idx="14">
                  <c:v>2516</c:v>
                </c:pt>
                <c:pt idx="15">
                  <c:v>12232</c:v>
                </c:pt>
                <c:pt idx="16">
                  <c:v>2646</c:v>
                </c:pt>
                <c:pt idx="17">
                  <c:v>12368</c:v>
                </c:pt>
                <c:pt idx="18">
                  <c:v>11105</c:v>
                </c:pt>
                <c:pt idx="19">
                  <c:v>789</c:v>
                </c:pt>
                <c:pt idx="20">
                  <c:v>1438</c:v>
                </c:pt>
                <c:pt idx="21">
                  <c:v>1808</c:v>
                </c:pt>
                <c:pt idx="22">
                  <c:v>3256</c:v>
                </c:pt>
                <c:pt idx="23">
                  <c:v>3197</c:v>
                </c:pt>
                <c:pt idx="24">
                  <c:v>197</c:v>
                </c:pt>
                <c:pt idx="25">
                  <c:v>144</c:v>
                </c:pt>
                <c:pt idx="26">
                  <c:v>196</c:v>
                </c:pt>
                <c:pt idx="27">
                  <c:v>198</c:v>
                </c:pt>
                <c:pt idx="28">
                  <c:v>135</c:v>
                </c:pt>
                <c:pt idx="29">
                  <c:v>13</c:v>
                </c:pt>
                <c:pt idx="30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FC3-4C0A-843F-E62284673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0"/>
        <c:axId val="100"/>
      </c:line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zh-CN" altLang="en-US"/>
                  <a:t>互动数</a:t>
                </a:r>
              </a:p>
            </c:rich>
          </c:tx>
          <c:overlay val="1"/>
        </c:title>
        <c:numFmt formatCode="#,##0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TOP 20 </a:t>
            </a:r>
            <a:r>
              <a:rPr lang="zh-CN" altLang="en-US"/>
              <a:t>省份声量分布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地域分布!$B$3</c:f>
              <c:strCache>
                <c:ptCount val="1"/>
                <c:pt idx="0">
                  <c:v>声量</c:v>
                </c:pt>
              </c:strCache>
            </c:strRef>
          </c:tx>
          <c:spPr>
            <a:ln>
              <a:prstDash val="solid"/>
            </a:ln>
          </c:spPr>
          <c:invertIfNegative val="1"/>
          <c:cat>
            <c:strRef>
              <c:f>地域分布!$A$4:$A$23</c:f>
              <c:strCache>
                <c:ptCount val="20"/>
                <c:pt idx="0">
                  <c:v>广东省</c:v>
                </c:pt>
                <c:pt idx="1">
                  <c:v>江苏省</c:v>
                </c:pt>
                <c:pt idx="2">
                  <c:v>浙江省</c:v>
                </c:pt>
                <c:pt idx="3">
                  <c:v>安徽省</c:v>
                </c:pt>
                <c:pt idx="4">
                  <c:v>福建省</c:v>
                </c:pt>
                <c:pt idx="5">
                  <c:v>辽宁省</c:v>
                </c:pt>
                <c:pt idx="6">
                  <c:v>天津市</c:v>
                </c:pt>
                <c:pt idx="7">
                  <c:v>山东省</c:v>
                </c:pt>
                <c:pt idx="8">
                  <c:v>湖北省</c:v>
                </c:pt>
                <c:pt idx="9">
                  <c:v>河南省</c:v>
                </c:pt>
                <c:pt idx="10">
                  <c:v>四川省</c:v>
                </c:pt>
                <c:pt idx="11">
                  <c:v>江西省</c:v>
                </c:pt>
                <c:pt idx="12">
                  <c:v>湖南省</c:v>
                </c:pt>
                <c:pt idx="13">
                  <c:v>广西壮族自治区</c:v>
                </c:pt>
                <c:pt idx="14">
                  <c:v>河北省</c:v>
                </c:pt>
                <c:pt idx="15">
                  <c:v>北京市</c:v>
                </c:pt>
                <c:pt idx="16">
                  <c:v>上海市</c:v>
                </c:pt>
                <c:pt idx="17">
                  <c:v>新疆维吾尔自治区</c:v>
                </c:pt>
                <c:pt idx="18">
                  <c:v>云南省</c:v>
                </c:pt>
                <c:pt idx="19">
                  <c:v>陕西省</c:v>
                </c:pt>
              </c:strCache>
            </c:strRef>
          </c:cat>
          <c:val>
            <c:numRef>
              <c:f>地域分布!$B$4:$B$23</c:f>
              <c:numCache>
                <c:formatCode>General</c:formatCode>
                <c:ptCount val="20"/>
                <c:pt idx="0">
                  <c:v>110</c:v>
                </c:pt>
                <c:pt idx="1">
                  <c:v>91</c:v>
                </c:pt>
                <c:pt idx="2">
                  <c:v>83</c:v>
                </c:pt>
                <c:pt idx="3">
                  <c:v>43</c:v>
                </c:pt>
                <c:pt idx="4">
                  <c:v>42</c:v>
                </c:pt>
                <c:pt idx="5">
                  <c:v>38</c:v>
                </c:pt>
                <c:pt idx="6">
                  <c:v>28</c:v>
                </c:pt>
                <c:pt idx="7">
                  <c:v>23</c:v>
                </c:pt>
                <c:pt idx="8">
                  <c:v>21</c:v>
                </c:pt>
                <c:pt idx="9">
                  <c:v>21</c:v>
                </c:pt>
                <c:pt idx="10">
                  <c:v>19</c:v>
                </c:pt>
                <c:pt idx="11">
                  <c:v>19</c:v>
                </c:pt>
                <c:pt idx="12">
                  <c:v>15</c:v>
                </c:pt>
                <c:pt idx="13">
                  <c:v>12</c:v>
                </c:pt>
                <c:pt idx="14">
                  <c:v>11</c:v>
                </c:pt>
                <c:pt idx="15">
                  <c:v>9</c:v>
                </c:pt>
                <c:pt idx="16">
                  <c:v>8</c:v>
                </c:pt>
                <c:pt idx="17">
                  <c:v>6</c:v>
                </c:pt>
                <c:pt idx="18">
                  <c:v>5</c:v>
                </c:pt>
                <c:pt idx="19">
                  <c:v>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A0-4B83-9E28-82E3BD84A7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1"/>
        <c:axPos val="b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</c:scaling>
        <c:delete val="1"/>
        <c:axPos val="l"/>
        <c:majorGridlines/>
        <c:numFmt formatCode="General" sourceLinked="1"/>
        <c:majorTickMark val="none"/>
        <c:minorTickMark val="none"/>
        <c:tickLblPos val="nextTo"/>
        <c:crossAx val="1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36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51</xdr:row>
      <xdr:rowOff>0</xdr:rowOff>
    </xdr:from>
    <xdr:ext cx="10080000" cy="504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24</xdr:row>
      <xdr:rowOff>0</xdr:rowOff>
    </xdr:from>
    <xdr:ext cx="10080000" cy="504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4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0984E3"/>
  </sheetPr>
  <dimension ref="A1:F28"/>
  <sheetViews>
    <sheetView tabSelected="1" topLeftCell="A4" workbookViewId="0">
      <selection activeCell="F21" sqref="F21"/>
    </sheetView>
  </sheetViews>
  <sheetFormatPr defaultRowHeight="14.35" x14ac:dyDescent="0.4"/>
  <cols>
    <col min="1" max="1" width="34" customWidth="1"/>
    <col min="2" max="2" width="39" customWidth="1"/>
    <col min="3" max="4" width="20" customWidth="1"/>
    <col min="5" max="6" width="13" customWidth="1"/>
  </cols>
  <sheetData>
    <row r="1" spans="1:6" ht="20" x14ac:dyDescent="0.6">
      <c r="A1" s="13" t="s">
        <v>0</v>
      </c>
      <c r="B1" s="12"/>
      <c r="C1" s="12"/>
      <c r="D1" s="12"/>
      <c r="E1" s="12"/>
      <c r="F1" s="12"/>
    </row>
    <row r="2" spans="1:6" x14ac:dyDescent="0.4">
      <c r="A2" s="1" t="s">
        <v>1</v>
      </c>
      <c r="B2" s="2" t="s">
        <v>2</v>
      </c>
    </row>
    <row r="3" spans="1:6" x14ac:dyDescent="0.4">
      <c r="A3" s="1" t="s">
        <v>3</v>
      </c>
      <c r="B3" s="2" t="s">
        <v>4</v>
      </c>
    </row>
    <row r="4" spans="1:6" x14ac:dyDescent="0.4">
      <c r="A4" s="1" t="s">
        <v>5</v>
      </c>
      <c r="B4" s="2" t="s">
        <v>6</v>
      </c>
    </row>
    <row r="6" spans="1:6" x14ac:dyDescent="0.4">
      <c r="A6" s="3" t="s">
        <v>7</v>
      </c>
      <c r="B6" s="3" t="s">
        <v>8</v>
      </c>
      <c r="C6" s="3" t="s">
        <v>9</v>
      </c>
      <c r="D6" s="3" t="s">
        <v>10</v>
      </c>
    </row>
    <row r="7" spans="1:6" x14ac:dyDescent="0.4">
      <c r="A7" s="4" t="s">
        <v>11</v>
      </c>
      <c r="B7" s="5">
        <v>1778</v>
      </c>
      <c r="C7" s="5">
        <v>1574</v>
      </c>
      <c r="D7" s="5">
        <f t="shared" ref="D7:D14" si="0">B7+C7</f>
        <v>3352</v>
      </c>
    </row>
    <row r="8" spans="1:6" x14ac:dyDescent="0.4">
      <c r="A8" s="4" t="s">
        <v>12</v>
      </c>
      <c r="B8" s="5">
        <v>13898</v>
      </c>
      <c r="C8" s="5">
        <v>247933</v>
      </c>
      <c r="D8" s="5">
        <f t="shared" si="0"/>
        <v>261831</v>
      </c>
    </row>
    <row r="9" spans="1:6" x14ac:dyDescent="0.4">
      <c r="A9" s="4" t="s">
        <v>13</v>
      </c>
      <c r="B9" s="5">
        <v>1628</v>
      </c>
      <c r="C9" s="5">
        <v>1256</v>
      </c>
      <c r="D9" s="5">
        <f t="shared" si="0"/>
        <v>2884</v>
      </c>
    </row>
    <row r="10" spans="1:6" x14ac:dyDescent="0.4">
      <c r="A10" s="4" t="s">
        <v>14</v>
      </c>
      <c r="B10" s="5">
        <v>806047</v>
      </c>
      <c r="C10" s="5">
        <v>2979176</v>
      </c>
      <c r="D10" s="5">
        <f t="shared" si="0"/>
        <v>3785223</v>
      </c>
    </row>
    <row r="11" spans="1:6" x14ac:dyDescent="0.4">
      <c r="A11" s="4" t="s">
        <v>15</v>
      </c>
      <c r="B11" s="5">
        <v>6692</v>
      </c>
      <c r="C11" s="5">
        <v>148483</v>
      </c>
      <c r="D11" s="5">
        <f t="shared" si="0"/>
        <v>155175</v>
      </c>
    </row>
    <row r="12" spans="1:6" x14ac:dyDescent="0.4">
      <c r="A12" s="4" t="s">
        <v>16</v>
      </c>
      <c r="B12" s="5">
        <v>1379</v>
      </c>
      <c r="C12" s="5">
        <v>9545</v>
      </c>
      <c r="D12" s="5">
        <f t="shared" si="0"/>
        <v>10924</v>
      </c>
    </row>
    <row r="13" spans="1:6" x14ac:dyDescent="0.4">
      <c r="A13" s="4" t="s">
        <v>17</v>
      </c>
      <c r="B13" s="5">
        <v>2585</v>
      </c>
      <c r="C13" s="5">
        <v>25289</v>
      </c>
      <c r="D13" s="5">
        <f t="shared" si="0"/>
        <v>27874</v>
      </c>
    </row>
    <row r="14" spans="1:6" x14ac:dyDescent="0.4">
      <c r="A14" s="4" t="s">
        <v>18</v>
      </c>
      <c r="B14" s="5">
        <v>3242</v>
      </c>
      <c r="C14" s="5">
        <v>92157</v>
      </c>
      <c r="D14" s="5">
        <f t="shared" si="0"/>
        <v>95399</v>
      </c>
    </row>
    <row r="15" spans="1:6" x14ac:dyDescent="0.4">
      <c r="A15" s="4" t="s">
        <v>19</v>
      </c>
      <c r="B15" s="6">
        <v>0.85</v>
      </c>
      <c r="C15" s="6">
        <v>0.92</v>
      </c>
      <c r="D15" s="6">
        <f>AVERAGE(B15,C15)</f>
        <v>0.88500000000000001</v>
      </c>
    </row>
    <row r="17" spans="1:6" ht="15.35" x14ac:dyDescent="0.5">
      <c r="A17" s="11" t="s">
        <v>20</v>
      </c>
      <c r="B17" s="12"/>
      <c r="C17" s="12"/>
      <c r="D17" s="12"/>
      <c r="E17" s="12"/>
      <c r="F17" s="12"/>
    </row>
    <row r="18" spans="1:6" x14ac:dyDescent="0.4">
      <c r="A18" s="3" t="s">
        <v>7</v>
      </c>
      <c r="B18" s="3" t="s">
        <v>21</v>
      </c>
      <c r="C18" s="3" t="s">
        <v>22</v>
      </c>
      <c r="D18" s="3" t="s">
        <v>23</v>
      </c>
    </row>
    <row r="19" spans="1:6" x14ac:dyDescent="0.4">
      <c r="A19" s="4" t="s">
        <v>24</v>
      </c>
      <c r="B19" s="4">
        <v>3352</v>
      </c>
      <c r="C19" s="7">
        <v>0.41320000000000001</v>
      </c>
      <c r="D19" s="7">
        <v>1.1364000000000001</v>
      </c>
    </row>
    <row r="20" spans="1:6" x14ac:dyDescent="0.4">
      <c r="A20" s="4" t="s">
        <v>12</v>
      </c>
      <c r="B20" s="4">
        <v>261831</v>
      </c>
      <c r="C20" s="7">
        <v>1.2568999999999999</v>
      </c>
      <c r="D20" s="7">
        <v>6.3773999999999997</v>
      </c>
    </row>
    <row r="21" spans="1:6" x14ac:dyDescent="0.4">
      <c r="A21" s="4" t="s">
        <v>13</v>
      </c>
      <c r="B21" s="4">
        <v>2884</v>
      </c>
      <c r="C21" s="7">
        <v>0.35210000000000002</v>
      </c>
      <c r="D21" s="7">
        <v>1.4338</v>
      </c>
    </row>
    <row r="22" spans="1:6" x14ac:dyDescent="0.4">
      <c r="A22" s="4" t="s">
        <v>19</v>
      </c>
      <c r="B22" s="4">
        <v>0.74890000000000001</v>
      </c>
      <c r="C22" s="8">
        <v>2.6599999999999999E-2</v>
      </c>
      <c r="D22" s="8">
        <v>-7.1499999999999994E-2</v>
      </c>
    </row>
    <row r="24" spans="1:6" ht="15.35" x14ac:dyDescent="0.5">
      <c r="A24" s="11" t="s">
        <v>25</v>
      </c>
      <c r="B24" s="12"/>
      <c r="C24" s="12"/>
      <c r="D24" s="12"/>
      <c r="E24" s="12"/>
      <c r="F24" s="12"/>
    </row>
    <row r="25" spans="1:6" x14ac:dyDescent="0.4">
      <c r="A25" s="3" t="s">
        <v>26</v>
      </c>
      <c r="B25" s="3" t="s">
        <v>24</v>
      </c>
      <c r="C25" s="3" t="s">
        <v>27</v>
      </c>
    </row>
    <row r="26" spans="1:6" x14ac:dyDescent="0.4">
      <c r="A26" s="4" t="s">
        <v>28</v>
      </c>
      <c r="B26" s="4">
        <v>1351</v>
      </c>
      <c r="C26" s="7">
        <f>B26/SUM(B26:B28)</f>
        <v>0.40304295942720764</v>
      </c>
    </row>
    <row r="27" spans="1:6" x14ac:dyDescent="0.4">
      <c r="A27" s="4" t="s">
        <v>29</v>
      </c>
      <c r="B27" s="4">
        <v>1807</v>
      </c>
      <c r="C27" s="7">
        <f>B27/SUM(B26:B28)</f>
        <v>0.53908114558472553</v>
      </c>
    </row>
    <row r="28" spans="1:6" x14ac:dyDescent="0.4">
      <c r="A28" s="4" t="s">
        <v>30</v>
      </c>
      <c r="B28" s="4">
        <v>194</v>
      </c>
      <c r="C28" s="7">
        <f>B28/SUM(B26:B28)</f>
        <v>5.7875894988066827E-2</v>
      </c>
    </row>
  </sheetData>
  <mergeCells count="3">
    <mergeCell ref="A24:F24"/>
    <mergeCell ref="A1:F1"/>
    <mergeCell ref="A17:F17"/>
  </mergeCells>
  <phoneticPr fontId="1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894"/>
  </sheetPr>
  <dimension ref="A1:E17"/>
  <sheetViews>
    <sheetView workbookViewId="0">
      <selection sqref="A1:E1"/>
    </sheetView>
  </sheetViews>
  <sheetFormatPr defaultRowHeight="14.35" x14ac:dyDescent="0.4"/>
  <cols>
    <col min="1" max="1" width="40" customWidth="1"/>
    <col min="2" max="4" width="13" customWidth="1"/>
    <col min="5" max="5" width="17" customWidth="1"/>
  </cols>
  <sheetData>
    <row r="1" spans="1:5" ht="17.7" x14ac:dyDescent="0.55000000000000004">
      <c r="A1" s="15" t="s">
        <v>31</v>
      </c>
      <c r="B1" s="12"/>
      <c r="C1" s="12"/>
      <c r="D1" s="12"/>
      <c r="E1" s="12"/>
    </row>
    <row r="3" spans="1:5" x14ac:dyDescent="0.4">
      <c r="A3" s="3" t="s">
        <v>32</v>
      </c>
      <c r="B3" s="3" t="s">
        <v>33</v>
      </c>
      <c r="C3" s="3" t="s">
        <v>24</v>
      </c>
      <c r="D3" s="3" t="s">
        <v>12</v>
      </c>
      <c r="E3" s="3" t="s">
        <v>27</v>
      </c>
    </row>
    <row r="4" spans="1:5" x14ac:dyDescent="0.4">
      <c r="A4" s="4" t="s">
        <v>8</v>
      </c>
      <c r="B4" s="4" t="s">
        <v>34</v>
      </c>
      <c r="C4" s="4">
        <v>767</v>
      </c>
      <c r="D4" s="5">
        <v>3505</v>
      </c>
      <c r="E4" s="7">
        <f>C4/SUM(C4:C6)</f>
        <v>0.43138357705286839</v>
      </c>
    </row>
    <row r="5" spans="1:5" x14ac:dyDescent="0.4">
      <c r="A5" s="4" t="s">
        <v>8</v>
      </c>
      <c r="B5" s="4" t="s">
        <v>35</v>
      </c>
      <c r="C5" s="4">
        <v>871</v>
      </c>
      <c r="D5" s="5">
        <v>10081</v>
      </c>
      <c r="E5" s="7">
        <f>C5/SUM(C4:C6)</f>
        <v>0.48987626546681667</v>
      </c>
    </row>
    <row r="6" spans="1:5" x14ac:dyDescent="0.4">
      <c r="A6" s="4" t="s">
        <v>8</v>
      </c>
      <c r="B6" s="4" t="s">
        <v>36</v>
      </c>
      <c r="C6" s="4">
        <v>140</v>
      </c>
      <c r="D6" s="5">
        <v>312</v>
      </c>
      <c r="E6" s="7">
        <f>C6/SUM(C4:C6)</f>
        <v>7.874015748031496E-2</v>
      </c>
    </row>
    <row r="7" spans="1:5" x14ac:dyDescent="0.4">
      <c r="A7" s="4" t="s">
        <v>9</v>
      </c>
      <c r="B7" s="4" t="s">
        <v>34</v>
      </c>
      <c r="C7" s="4">
        <v>584</v>
      </c>
      <c r="D7" s="5">
        <v>51062</v>
      </c>
      <c r="E7" s="7">
        <f>C7/SUM(C7:C9)</f>
        <v>0.37102922490470142</v>
      </c>
    </row>
    <row r="8" spans="1:5" x14ac:dyDescent="0.4">
      <c r="A8" s="4" t="s">
        <v>9</v>
      </c>
      <c r="B8" s="4" t="s">
        <v>35</v>
      </c>
      <c r="C8" s="4">
        <v>936</v>
      </c>
      <c r="D8" s="5">
        <v>188474</v>
      </c>
      <c r="E8" s="7">
        <f>C8/SUM(C7:C9)</f>
        <v>0.59466327827191867</v>
      </c>
    </row>
    <row r="9" spans="1:5" x14ac:dyDescent="0.4">
      <c r="A9" s="4" t="s">
        <v>9</v>
      </c>
      <c r="B9" s="4" t="s">
        <v>36</v>
      </c>
      <c r="C9" s="4">
        <v>54</v>
      </c>
      <c r="D9" s="5">
        <v>8397</v>
      </c>
      <c r="E9" s="7">
        <f>C9/SUM(C7:C9)</f>
        <v>3.4307496823379927E-2</v>
      </c>
    </row>
    <row r="11" spans="1:5" ht="15.35" x14ac:dyDescent="0.5">
      <c r="A11" s="14" t="s">
        <v>37</v>
      </c>
      <c r="B11" s="12"/>
      <c r="C11" s="12"/>
      <c r="D11" s="12"/>
      <c r="E11" s="12"/>
    </row>
    <row r="12" spans="1:5" x14ac:dyDescent="0.4">
      <c r="A12" s="9" t="s">
        <v>38</v>
      </c>
    </row>
    <row r="13" spans="1:5" x14ac:dyDescent="0.4">
      <c r="A13" s="9" t="s">
        <v>39</v>
      </c>
    </row>
    <row r="14" spans="1:5" x14ac:dyDescent="0.4">
      <c r="A14" s="9" t="s">
        <v>40</v>
      </c>
    </row>
    <row r="15" spans="1:5" x14ac:dyDescent="0.4">
      <c r="A15" s="9" t="s">
        <v>41</v>
      </c>
    </row>
    <row r="16" spans="1:5" x14ac:dyDescent="0.4">
      <c r="A16" s="9" t="s">
        <v>42</v>
      </c>
    </row>
    <row r="17" spans="1:1" x14ac:dyDescent="0.4">
      <c r="A17" s="9" t="s">
        <v>43</v>
      </c>
    </row>
  </sheetData>
  <mergeCells count="2">
    <mergeCell ref="A11:E11"/>
    <mergeCell ref="A1:E1"/>
  </mergeCells>
  <phoneticPr fontId="15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E17055"/>
  </sheetPr>
  <dimension ref="A1:D35"/>
  <sheetViews>
    <sheetView topLeftCell="A61" workbookViewId="0">
      <selection sqref="A1:D1"/>
    </sheetView>
  </sheetViews>
  <sheetFormatPr defaultRowHeight="14.35" x14ac:dyDescent="0.4"/>
  <cols>
    <col min="1" max="1" width="40" customWidth="1"/>
    <col min="2" max="3" width="15" customWidth="1"/>
    <col min="4" max="4" width="28" customWidth="1"/>
  </cols>
  <sheetData>
    <row r="1" spans="1:4" ht="17.7" x14ac:dyDescent="0.55000000000000004">
      <c r="A1" s="16" t="s">
        <v>44</v>
      </c>
      <c r="B1" s="12"/>
      <c r="C1" s="12"/>
      <c r="D1" s="12"/>
    </row>
    <row r="3" spans="1:4" x14ac:dyDescent="0.4">
      <c r="A3" s="3" t="s">
        <v>45</v>
      </c>
      <c r="B3" s="3" t="s">
        <v>24</v>
      </c>
      <c r="C3" s="3" t="s">
        <v>12</v>
      </c>
      <c r="D3" s="3" t="s">
        <v>46</v>
      </c>
    </row>
    <row r="4" spans="1:4" x14ac:dyDescent="0.4">
      <c r="A4" s="4" t="s">
        <v>47</v>
      </c>
      <c r="B4" s="4">
        <v>76</v>
      </c>
      <c r="C4" s="5">
        <v>3246</v>
      </c>
      <c r="D4" s="4"/>
    </row>
    <row r="5" spans="1:4" x14ac:dyDescent="0.4">
      <c r="A5" s="4" t="s">
        <v>48</v>
      </c>
      <c r="B5" s="4">
        <v>107</v>
      </c>
      <c r="C5" s="5">
        <v>87004</v>
      </c>
      <c r="D5" s="4" t="s">
        <v>49</v>
      </c>
    </row>
    <row r="6" spans="1:4" x14ac:dyDescent="0.4">
      <c r="A6" s="4" t="s">
        <v>50</v>
      </c>
      <c r="B6" s="4">
        <v>121</v>
      </c>
      <c r="C6" s="5">
        <v>32211</v>
      </c>
      <c r="D6" s="4" t="s">
        <v>51</v>
      </c>
    </row>
    <row r="7" spans="1:4" x14ac:dyDescent="0.4">
      <c r="A7" s="4" t="s">
        <v>52</v>
      </c>
      <c r="B7" s="4">
        <v>138</v>
      </c>
      <c r="C7" s="5">
        <v>13184</v>
      </c>
      <c r="D7" s="4"/>
    </row>
    <row r="8" spans="1:4" x14ac:dyDescent="0.4">
      <c r="A8" s="4" t="s">
        <v>53</v>
      </c>
      <c r="B8" s="4">
        <v>110</v>
      </c>
      <c r="C8" s="5">
        <v>5550</v>
      </c>
      <c r="D8" s="4"/>
    </row>
    <row r="9" spans="1:4" x14ac:dyDescent="0.4">
      <c r="A9" s="4" t="s">
        <v>54</v>
      </c>
      <c r="B9" s="4">
        <v>120</v>
      </c>
      <c r="C9" s="5">
        <v>6121</v>
      </c>
      <c r="D9" s="4"/>
    </row>
    <row r="10" spans="1:4" x14ac:dyDescent="0.4">
      <c r="A10" s="4" t="s">
        <v>55</v>
      </c>
      <c r="B10" s="4">
        <v>109</v>
      </c>
      <c r="C10" s="5">
        <v>4516</v>
      </c>
      <c r="D10" s="4"/>
    </row>
    <row r="11" spans="1:4" x14ac:dyDescent="0.4">
      <c r="A11" s="4" t="s">
        <v>56</v>
      </c>
      <c r="B11" s="4">
        <v>122</v>
      </c>
      <c r="C11" s="5">
        <v>1133</v>
      </c>
      <c r="D11" s="4"/>
    </row>
    <row r="12" spans="1:4" x14ac:dyDescent="0.4">
      <c r="A12" s="4" t="s">
        <v>57</v>
      </c>
      <c r="B12" s="4">
        <v>95</v>
      </c>
      <c r="C12" s="5">
        <v>2420</v>
      </c>
      <c r="D12" s="4"/>
    </row>
    <row r="13" spans="1:4" x14ac:dyDescent="0.4">
      <c r="A13" s="4" t="s">
        <v>58</v>
      </c>
      <c r="B13" s="4">
        <v>112</v>
      </c>
      <c r="C13" s="5">
        <v>18834</v>
      </c>
      <c r="D13" s="4"/>
    </row>
    <row r="14" spans="1:4" x14ac:dyDescent="0.4">
      <c r="A14" s="4" t="s">
        <v>59</v>
      </c>
      <c r="B14" s="4">
        <v>110</v>
      </c>
      <c r="C14" s="5">
        <v>3488</v>
      </c>
      <c r="D14" s="4"/>
    </row>
    <row r="15" spans="1:4" x14ac:dyDescent="0.4">
      <c r="A15" s="4" t="s">
        <v>60</v>
      </c>
      <c r="B15" s="4">
        <v>97</v>
      </c>
      <c r="C15" s="5">
        <v>2201</v>
      </c>
      <c r="D15" s="4"/>
    </row>
    <row r="16" spans="1:4" x14ac:dyDescent="0.4">
      <c r="A16" s="4" t="s">
        <v>61</v>
      </c>
      <c r="B16" s="4">
        <v>98</v>
      </c>
      <c r="C16" s="5">
        <v>17636</v>
      </c>
      <c r="D16" s="4"/>
    </row>
    <row r="17" spans="1:4" x14ac:dyDescent="0.4">
      <c r="A17" s="4" t="s">
        <v>62</v>
      </c>
      <c r="B17" s="4">
        <v>143</v>
      </c>
      <c r="C17" s="5">
        <v>12049</v>
      </c>
      <c r="D17" s="4" t="s">
        <v>63</v>
      </c>
    </row>
    <row r="18" spans="1:4" x14ac:dyDescent="0.4">
      <c r="A18" s="4" t="s">
        <v>64</v>
      </c>
      <c r="B18" s="4">
        <v>129</v>
      </c>
      <c r="C18" s="5">
        <v>2516</v>
      </c>
      <c r="D18" s="4"/>
    </row>
    <row r="19" spans="1:4" x14ac:dyDescent="0.4">
      <c r="A19" s="4" t="s">
        <v>65</v>
      </c>
      <c r="B19" s="4">
        <v>135</v>
      </c>
      <c r="C19" s="5">
        <v>12232</v>
      </c>
      <c r="D19" s="4"/>
    </row>
    <row r="20" spans="1:4" x14ac:dyDescent="0.4">
      <c r="A20" s="4" t="s">
        <v>66</v>
      </c>
      <c r="B20" s="4">
        <v>118</v>
      </c>
      <c r="C20" s="5">
        <v>2646</v>
      </c>
      <c r="D20" s="4"/>
    </row>
    <row r="21" spans="1:4" x14ac:dyDescent="0.4">
      <c r="A21" s="4" t="s">
        <v>67</v>
      </c>
      <c r="B21" s="4">
        <v>172</v>
      </c>
      <c r="C21" s="5">
        <v>12368</v>
      </c>
      <c r="D21" s="4" t="s">
        <v>68</v>
      </c>
    </row>
    <row r="22" spans="1:4" x14ac:dyDescent="0.4">
      <c r="A22" s="4" t="s">
        <v>69</v>
      </c>
      <c r="B22" s="4">
        <v>128</v>
      </c>
      <c r="C22" s="5">
        <v>11105</v>
      </c>
      <c r="D22" s="4"/>
    </row>
    <row r="23" spans="1:4" x14ac:dyDescent="0.4">
      <c r="A23" s="4" t="s">
        <v>70</v>
      </c>
      <c r="B23" s="4">
        <v>127</v>
      </c>
      <c r="C23" s="5">
        <v>789</v>
      </c>
      <c r="D23" s="4"/>
    </row>
    <row r="24" spans="1:4" x14ac:dyDescent="0.4">
      <c r="A24" s="4" t="s">
        <v>71</v>
      </c>
      <c r="B24" s="4">
        <v>115</v>
      </c>
      <c r="C24" s="5">
        <v>1438</v>
      </c>
      <c r="D24" s="4"/>
    </row>
    <row r="25" spans="1:4" x14ac:dyDescent="0.4">
      <c r="A25" s="4" t="s">
        <v>72</v>
      </c>
      <c r="B25" s="4">
        <v>98</v>
      </c>
      <c r="C25" s="5">
        <v>1808</v>
      </c>
      <c r="D25" s="4"/>
    </row>
    <row r="26" spans="1:4" x14ac:dyDescent="0.4">
      <c r="A26" s="4" t="s">
        <v>73</v>
      </c>
      <c r="B26" s="4">
        <v>83</v>
      </c>
      <c r="C26" s="5">
        <v>3256</v>
      </c>
      <c r="D26" s="4"/>
    </row>
    <row r="27" spans="1:4" x14ac:dyDescent="0.4">
      <c r="A27" s="4" t="s">
        <v>74</v>
      </c>
      <c r="B27" s="4">
        <v>109</v>
      </c>
      <c r="C27" s="5">
        <v>3197</v>
      </c>
      <c r="D27" s="4"/>
    </row>
    <row r="28" spans="1:4" x14ac:dyDescent="0.4">
      <c r="A28" s="4" t="s">
        <v>75</v>
      </c>
      <c r="B28" s="4">
        <v>81</v>
      </c>
      <c r="C28" s="5">
        <v>197</v>
      </c>
      <c r="D28" s="4" t="s">
        <v>76</v>
      </c>
    </row>
    <row r="29" spans="1:4" x14ac:dyDescent="0.4">
      <c r="A29" s="4" t="s">
        <v>77</v>
      </c>
      <c r="B29" s="4">
        <v>81</v>
      </c>
      <c r="C29" s="5">
        <v>144</v>
      </c>
      <c r="D29" s="4"/>
    </row>
    <row r="30" spans="1:4" x14ac:dyDescent="0.4">
      <c r="A30" s="4" t="s">
        <v>78</v>
      </c>
      <c r="B30" s="4">
        <v>104</v>
      </c>
      <c r="C30" s="5">
        <v>196</v>
      </c>
      <c r="D30" s="4"/>
    </row>
    <row r="31" spans="1:4" x14ac:dyDescent="0.4">
      <c r="A31" s="4" t="s">
        <v>79</v>
      </c>
      <c r="B31" s="4">
        <v>88</v>
      </c>
      <c r="C31" s="5">
        <v>198</v>
      </c>
      <c r="D31" s="4"/>
    </row>
    <row r="32" spans="1:4" x14ac:dyDescent="0.4">
      <c r="A32" s="4" t="s">
        <v>80</v>
      </c>
      <c r="B32" s="4">
        <v>102</v>
      </c>
      <c r="C32" s="5">
        <v>135</v>
      </c>
      <c r="D32" s="4"/>
    </row>
    <row r="33" spans="1:4" x14ac:dyDescent="0.4">
      <c r="A33" s="4" t="s">
        <v>81</v>
      </c>
      <c r="B33" s="4">
        <v>75</v>
      </c>
      <c r="C33" s="5">
        <v>13</v>
      </c>
      <c r="D33" s="4"/>
    </row>
    <row r="34" spans="1:4" x14ac:dyDescent="0.4">
      <c r="A34" s="4" t="s">
        <v>82</v>
      </c>
      <c r="B34" s="4">
        <v>49</v>
      </c>
      <c r="C34" s="5">
        <v>0</v>
      </c>
      <c r="D34" s="4" t="s">
        <v>83</v>
      </c>
    </row>
    <row r="35" spans="1:4" x14ac:dyDescent="0.4">
      <c r="A35" s="1" t="s">
        <v>10</v>
      </c>
      <c r="B35" s="10">
        <f>SUM(B4:B34)</f>
        <v>3352</v>
      </c>
      <c r="C35" s="10">
        <f>SUM(C4:C34)</f>
        <v>261831</v>
      </c>
    </row>
  </sheetData>
  <mergeCells count="1">
    <mergeCell ref="A1:D1"/>
  </mergeCells>
  <phoneticPr fontId="15" type="noConversion"/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FDCB6E"/>
  </sheetPr>
  <dimension ref="A1:D24"/>
  <sheetViews>
    <sheetView workbookViewId="0">
      <selection sqref="A1:D1"/>
    </sheetView>
  </sheetViews>
  <sheetFormatPr defaultRowHeight="14.35" x14ac:dyDescent="0.4"/>
  <cols>
    <col min="1" max="1" width="30" customWidth="1"/>
    <col min="2" max="3" width="13" customWidth="1"/>
    <col min="4" max="4" width="17" customWidth="1"/>
  </cols>
  <sheetData>
    <row r="1" spans="1:4" ht="17.7" x14ac:dyDescent="0.55000000000000004">
      <c r="A1" s="17" t="s">
        <v>84</v>
      </c>
      <c r="B1" s="12"/>
      <c r="C1" s="12"/>
      <c r="D1" s="12"/>
    </row>
    <row r="3" spans="1:4" x14ac:dyDescent="0.4">
      <c r="A3" s="3" t="s">
        <v>85</v>
      </c>
      <c r="B3" s="3" t="s">
        <v>24</v>
      </c>
      <c r="C3" s="3" t="s">
        <v>12</v>
      </c>
      <c r="D3" s="3" t="s">
        <v>86</v>
      </c>
    </row>
    <row r="4" spans="1:4" x14ac:dyDescent="0.4">
      <c r="A4" s="4" t="s">
        <v>87</v>
      </c>
      <c r="B4" s="4">
        <v>452</v>
      </c>
      <c r="C4" s="5">
        <v>16372</v>
      </c>
      <c r="D4" s="5">
        <v>404156</v>
      </c>
    </row>
    <row r="5" spans="1:4" x14ac:dyDescent="0.4">
      <c r="A5" s="4" t="s">
        <v>88</v>
      </c>
      <c r="B5" s="4">
        <v>161</v>
      </c>
      <c r="C5" s="5">
        <v>5604</v>
      </c>
      <c r="D5" s="5">
        <v>72376</v>
      </c>
    </row>
    <row r="6" spans="1:4" x14ac:dyDescent="0.4">
      <c r="A6" s="4" t="s">
        <v>89</v>
      </c>
      <c r="B6" s="4">
        <v>80</v>
      </c>
      <c r="C6" s="5">
        <v>3125</v>
      </c>
      <c r="D6" s="5">
        <v>72033</v>
      </c>
    </row>
    <row r="7" spans="1:4" x14ac:dyDescent="0.4">
      <c r="A7" s="4" t="s">
        <v>90</v>
      </c>
      <c r="B7" s="4">
        <v>46</v>
      </c>
      <c r="C7" s="5">
        <v>305</v>
      </c>
      <c r="D7" s="5">
        <v>24240</v>
      </c>
    </row>
    <row r="8" spans="1:4" x14ac:dyDescent="0.4">
      <c r="A8" s="4" t="s">
        <v>91</v>
      </c>
      <c r="B8" s="4">
        <v>37</v>
      </c>
      <c r="C8" s="5">
        <v>8024</v>
      </c>
      <c r="D8" s="5">
        <v>84623</v>
      </c>
    </row>
    <row r="9" spans="1:4" x14ac:dyDescent="0.4">
      <c r="A9" s="4" t="s">
        <v>92</v>
      </c>
      <c r="B9" s="4">
        <v>13</v>
      </c>
      <c r="C9" s="5">
        <v>38</v>
      </c>
      <c r="D9" s="5">
        <v>3805</v>
      </c>
    </row>
    <row r="10" spans="1:4" x14ac:dyDescent="0.4">
      <c r="A10" s="4" t="s">
        <v>93</v>
      </c>
      <c r="B10" s="4">
        <v>12</v>
      </c>
      <c r="C10" s="5">
        <v>15</v>
      </c>
      <c r="D10" s="5">
        <v>232</v>
      </c>
    </row>
    <row r="11" spans="1:4" x14ac:dyDescent="0.4">
      <c r="A11" s="4" t="s">
        <v>94</v>
      </c>
      <c r="B11" s="4">
        <v>2</v>
      </c>
      <c r="C11" s="5">
        <v>32</v>
      </c>
      <c r="D11" s="5">
        <v>1115</v>
      </c>
    </row>
    <row r="12" spans="1:4" x14ac:dyDescent="0.4">
      <c r="A12" s="4" t="s">
        <v>95</v>
      </c>
      <c r="B12" s="4">
        <v>1</v>
      </c>
      <c r="C12" s="5">
        <v>0</v>
      </c>
      <c r="D12" s="5">
        <v>0</v>
      </c>
    </row>
    <row r="14" spans="1:4" ht="15.35" x14ac:dyDescent="0.5">
      <c r="A14" s="11" t="s">
        <v>96</v>
      </c>
      <c r="B14" s="12"/>
      <c r="C14" s="12"/>
      <c r="D14" s="12"/>
    </row>
    <row r="15" spans="1:4" x14ac:dyDescent="0.4">
      <c r="A15" s="3" t="s">
        <v>97</v>
      </c>
      <c r="B15" s="3" t="s">
        <v>24</v>
      </c>
      <c r="C15" s="3" t="s">
        <v>12</v>
      </c>
      <c r="D15" s="3" t="s">
        <v>13</v>
      </c>
    </row>
    <row r="16" spans="1:4" x14ac:dyDescent="0.4">
      <c r="A16" s="4" t="s">
        <v>98</v>
      </c>
      <c r="B16" s="5">
        <v>0</v>
      </c>
      <c r="C16" s="5">
        <v>0</v>
      </c>
      <c r="D16" s="5">
        <v>0</v>
      </c>
    </row>
    <row r="17" spans="1:4" x14ac:dyDescent="0.4">
      <c r="A17" s="4" t="s">
        <v>99</v>
      </c>
      <c r="B17" s="5">
        <v>25</v>
      </c>
      <c r="C17" s="5">
        <v>42032</v>
      </c>
      <c r="D17" s="5">
        <v>23</v>
      </c>
    </row>
    <row r="18" spans="1:4" x14ac:dyDescent="0.4">
      <c r="A18" s="4" t="s">
        <v>100</v>
      </c>
      <c r="B18" s="5">
        <v>480</v>
      </c>
      <c r="C18" s="5">
        <v>71309</v>
      </c>
      <c r="D18" s="5">
        <v>413</v>
      </c>
    </row>
    <row r="19" spans="1:4" x14ac:dyDescent="0.4">
      <c r="A19" s="4" t="s">
        <v>101</v>
      </c>
      <c r="B19" s="5">
        <v>2847</v>
      </c>
      <c r="C19" s="5">
        <v>148490</v>
      </c>
      <c r="D19" s="5">
        <v>2448</v>
      </c>
    </row>
    <row r="21" spans="1:4" ht="15.35" x14ac:dyDescent="0.5">
      <c r="A21" s="11" t="s">
        <v>102</v>
      </c>
      <c r="B21" s="12"/>
      <c r="C21" s="12"/>
      <c r="D21" s="12"/>
    </row>
    <row r="22" spans="1:4" x14ac:dyDescent="0.4">
      <c r="A22" s="3" t="s">
        <v>103</v>
      </c>
      <c r="B22" s="3" t="s">
        <v>24</v>
      </c>
      <c r="C22" s="3" t="s">
        <v>12</v>
      </c>
      <c r="D22" s="3" t="s">
        <v>27</v>
      </c>
    </row>
    <row r="23" spans="1:4" x14ac:dyDescent="0.4">
      <c r="A23" s="4" t="s">
        <v>104</v>
      </c>
      <c r="B23" s="4">
        <v>3349</v>
      </c>
      <c r="C23" s="5">
        <v>261400</v>
      </c>
      <c r="D23" s="7">
        <f>B23/(B23+B24)</f>
        <v>0.99910501193317425</v>
      </c>
    </row>
    <row r="24" spans="1:4" x14ac:dyDescent="0.4">
      <c r="A24" s="4" t="s">
        <v>105</v>
      </c>
      <c r="B24" s="4">
        <v>3</v>
      </c>
      <c r="C24" s="5">
        <v>431</v>
      </c>
      <c r="D24" s="7">
        <f>B24/(B23+B24)</f>
        <v>8.949880668257757E-4</v>
      </c>
    </row>
  </sheetData>
  <mergeCells count="3">
    <mergeCell ref="A1:D1"/>
    <mergeCell ref="A21:D21"/>
    <mergeCell ref="A14:D14"/>
  </mergeCells>
  <phoneticPr fontId="1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6C5CE7"/>
  </sheetPr>
  <dimension ref="A1:D23"/>
  <sheetViews>
    <sheetView topLeftCell="A22" workbookViewId="0">
      <selection sqref="A1:D1"/>
    </sheetView>
  </sheetViews>
  <sheetFormatPr defaultRowHeight="14.35" x14ac:dyDescent="0.4"/>
  <cols>
    <col min="1" max="1" width="26" customWidth="1"/>
    <col min="2" max="3" width="13" customWidth="1"/>
    <col min="4" max="4" width="19" customWidth="1"/>
  </cols>
  <sheetData>
    <row r="1" spans="1:4" ht="17.7" x14ac:dyDescent="0.55000000000000004">
      <c r="A1" s="18" t="s">
        <v>106</v>
      </c>
      <c r="B1" s="12"/>
      <c r="C1" s="12"/>
      <c r="D1" s="12"/>
    </row>
    <row r="3" spans="1:4" x14ac:dyDescent="0.4">
      <c r="A3" s="3" t="s">
        <v>107</v>
      </c>
      <c r="B3" s="3" t="s">
        <v>24</v>
      </c>
      <c r="C3" s="3" t="s">
        <v>12</v>
      </c>
      <c r="D3" s="3" t="s">
        <v>108</v>
      </c>
    </row>
    <row r="4" spans="1:4" x14ac:dyDescent="0.4">
      <c r="A4" s="4" t="s">
        <v>109</v>
      </c>
      <c r="B4" s="4">
        <v>110</v>
      </c>
      <c r="C4" s="5">
        <v>12830</v>
      </c>
      <c r="D4" s="7">
        <f>B4/SUM(B4:B23)</f>
        <v>0.18092105263157895</v>
      </c>
    </row>
    <row r="5" spans="1:4" x14ac:dyDescent="0.4">
      <c r="A5" s="4" t="s">
        <v>110</v>
      </c>
      <c r="B5" s="4">
        <v>91</v>
      </c>
      <c r="C5" s="5">
        <v>2364</v>
      </c>
      <c r="D5" s="7">
        <f>B5/SUM(B4:B23)</f>
        <v>0.14967105263157895</v>
      </c>
    </row>
    <row r="6" spans="1:4" x14ac:dyDescent="0.4">
      <c r="A6" s="4" t="s">
        <v>111</v>
      </c>
      <c r="B6" s="4">
        <v>83</v>
      </c>
      <c r="C6" s="5">
        <v>40543</v>
      </c>
      <c r="D6" s="7">
        <f>B6/SUM(B4:B23)</f>
        <v>0.13651315789473684</v>
      </c>
    </row>
    <row r="7" spans="1:4" x14ac:dyDescent="0.4">
      <c r="A7" s="4" t="s">
        <v>112</v>
      </c>
      <c r="B7" s="4">
        <v>43</v>
      </c>
      <c r="C7" s="5">
        <v>6054</v>
      </c>
      <c r="D7" s="7">
        <f>B7/SUM(B4:B23)</f>
        <v>7.0723684210526314E-2</v>
      </c>
    </row>
    <row r="8" spans="1:4" x14ac:dyDescent="0.4">
      <c r="A8" s="4" t="s">
        <v>113</v>
      </c>
      <c r="B8" s="4">
        <v>42</v>
      </c>
      <c r="C8" s="5">
        <v>8420</v>
      </c>
      <c r="D8" s="7">
        <f>B8/SUM(B4:B23)</f>
        <v>6.9078947368421059E-2</v>
      </c>
    </row>
    <row r="9" spans="1:4" x14ac:dyDescent="0.4">
      <c r="A9" s="4" t="s">
        <v>114</v>
      </c>
      <c r="B9" s="4">
        <v>38</v>
      </c>
      <c r="C9" s="5">
        <v>2197</v>
      </c>
      <c r="D9" s="7">
        <f>B9/SUM(B4:B23)</f>
        <v>6.25E-2</v>
      </c>
    </row>
    <row r="10" spans="1:4" x14ac:dyDescent="0.4">
      <c r="A10" s="4" t="s">
        <v>115</v>
      </c>
      <c r="B10" s="4">
        <v>28</v>
      </c>
      <c r="C10" s="5">
        <v>13567</v>
      </c>
      <c r="D10" s="7">
        <f>B10/SUM(B4:B23)</f>
        <v>4.6052631578947366E-2</v>
      </c>
    </row>
    <row r="11" spans="1:4" x14ac:dyDescent="0.4">
      <c r="A11" s="4" t="s">
        <v>116</v>
      </c>
      <c r="B11" s="4">
        <v>23</v>
      </c>
      <c r="C11" s="5">
        <v>2868</v>
      </c>
      <c r="D11" s="7">
        <f>B11/SUM(B4:B23)</f>
        <v>3.7828947368421052E-2</v>
      </c>
    </row>
    <row r="12" spans="1:4" x14ac:dyDescent="0.4">
      <c r="A12" s="4" t="s">
        <v>117</v>
      </c>
      <c r="B12" s="4">
        <v>21</v>
      </c>
      <c r="C12" s="5">
        <v>3368</v>
      </c>
      <c r="D12" s="7">
        <f>B12/SUM(B4:B23)</f>
        <v>3.453947368421053E-2</v>
      </c>
    </row>
    <row r="13" spans="1:4" x14ac:dyDescent="0.4">
      <c r="A13" s="4" t="s">
        <v>118</v>
      </c>
      <c r="B13" s="4">
        <v>21</v>
      </c>
      <c r="C13" s="5">
        <v>200</v>
      </c>
      <c r="D13" s="7">
        <f>B13/SUM(B4:B23)</f>
        <v>3.453947368421053E-2</v>
      </c>
    </row>
    <row r="14" spans="1:4" x14ac:dyDescent="0.4">
      <c r="A14" s="4" t="s">
        <v>119</v>
      </c>
      <c r="B14" s="4">
        <v>19</v>
      </c>
      <c r="C14" s="5">
        <v>489</v>
      </c>
      <c r="D14" s="7">
        <f>B14/SUM(B4:B23)</f>
        <v>3.125E-2</v>
      </c>
    </row>
    <row r="15" spans="1:4" x14ac:dyDescent="0.4">
      <c r="A15" s="4" t="s">
        <v>120</v>
      </c>
      <c r="B15" s="4">
        <v>19</v>
      </c>
      <c r="C15" s="5">
        <v>3076</v>
      </c>
      <c r="D15" s="7">
        <f>B15/SUM(B4:B23)</f>
        <v>3.125E-2</v>
      </c>
    </row>
    <row r="16" spans="1:4" x14ac:dyDescent="0.4">
      <c r="A16" s="4" t="s">
        <v>121</v>
      </c>
      <c r="B16" s="4">
        <v>15</v>
      </c>
      <c r="C16" s="5">
        <v>1404</v>
      </c>
      <c r="D16" s="7">
        <f>B16/SUM(B4:B23)</f>
        <v>2.4671052631578948E-2</v>
      </c>
    </row>
    <row r="17" spans="1:4" x14ac:dyDescent="0.4">
      <c r="A17" s="4" t="s">
        <v>122</v>
      </c>
      <c r="B17" s="4">
        <v>12</v>
      </c>
      <c r="C17" s="5">
        <v>1179</v>
      </c>
      <c r="D17" s="7">
        <f>B17/SUM(B4:B23)</f>
        <v>1.9736842105263157E-2</v>
      </c>
    </row>
    <row r="18" spans="1:4" x14ac:dyDescent="0.4">
      <c r="A18" s="4" t="s">
        <v>123</v>
      </c>
      <c r="B18" s="4">
        <v>11</v>
      </c>
      <c r="C18" s="5">
        <v>47</v>
      </c>
      <c r="D18" s="7">
        <f>B18/SUM(B4:B23)</f>
        <v>1.8092105263157895E-2</v>
      </c>
    </row>
    <row r="19" spans="1:4" x14ac:dyDescent="0.4">
      <c r="A19" s="4" t="s">
        <v>124</v>
      </c>
      <c r="B19" s="4">
        <v>9</v>
      </c>
      <c r="C19" s="5">
        <v>17</v>
      </c>
      <c r="D19" s="7">
        <f>B19/SUM(B4:B23)</f>
        <v>1.4802631578947368E-2</v>
      </c>
    </row>
    <row r="20" spans="1:4" x14ac:dyDescent="0.4">
      <c r="A20" s="4" t="s">
        <v>125</v>
      </c>
      <c r="B20" s="4">
        <v>8</v>
      </c>
      <c r="C20" s="5">
        <v>31</v>
      </c>
      <c r="D20" s="7">
        <f>B20/SUM(B4:B23)</f>
        <v>1.3157894736842105E-2</v>
      </c>
    </row>
    <row r="21" spans="1:4" x14ac:dyDescent="0.4">
      <c r="A21" s="4" t="s">
        <v>126</v>
      </c>
      <c r="B21" s="4">
        <v>6</v>
      </c>
      <c r="C21" s="5">
        <v>327</v>
      </c>
      <c r="D21" s="7">
        <f>B21/SUM(B4:B23)</f>
        <v>9.8684210526315784E-3</v>
      </c>
    </row>
    <row r="22" spans="1:4" x14ac:dyDescent="0.4">
      <c r="A22" s="4" t="s">
        <v>127</v>
      </c>
      <c r="B22" s="4">
        <v>5</v>
      </c>
      <c r="C22" s="5">
        <v>23</v>
      </c>
      <c r="D22" s="7">
        <f>B22/SUM(B4:B23)</f>
        <v>8.2236842105263153E-3</v>
      </c>
    </row>
    <row r="23" spans="1:4" x14ac:dyDescent="0.4">
      <c r="A23" s="4" t="s">
        <v>128</v>
      </c>
      <c r="B23" s="4">
        <v>4</v>
      </c>
      <c r="C23" s="5">
        <v>677</v>
      </c>
      <c r="D23" s="7">
        <f>B23/SUM(B4:B23)</f>
        <v>6.5789473684210523E-3</v>
      </c>
    </row>
  </sheetData>
  <mergeCells count="1">
    <mergeCell ref="A1:D1"/>
  </mergeCells>
  <phoneticPr fontId="15" type="noConversion"/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D63031"/>
  </sheetPr>
  <dimension ref="A1:L38"/>
  <sheetViews>
    <sheetView workbookViewId="0">
      <selection sqref="A1:L1"/>
    </sheetView>
  </sheetViews>
  <sheetFormatPr defaultRowHeight="14.35" x14ac:dyDescent="0.4"/>
  <cols>
    <col min="1" max="1" width="40" customWidth="1"/>
    <col min="2" max="2" width="13" customWidth="1"/>
    <col min="3" max="3" width="40" customWidth="1"/>
    <col min="4" max="4" width="27" customWidth="1"/>
    <col min="5" max="12" width="13" customWidth="1"/>
  </cols>
  <sheetData>
    <row r="1" spans="1:12" ht="17.7" x14ac:dyDescent="0.55000000000000004">
      <c r="A1" s="19" t="s">
        <v>129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</row>
    <row r="3" spans="1:12" x14ac:dyDescent="0.4">
      <c r="A3" s="3" t="s">
        <v>130</v>
      </c>
      <c r="B3" s="3" t="s">
        <v>32</v>
      </c>
      <c r="C3" s="3" t="s">
        <v>131</v>
      </c>
      <c r="D3" s="3" t="s">
        <v>132</v>
      </c>
      <c r="E3" s="3" t="s">
        <v>12</v>
      </c>
      <c r="F3" s="3" t="s">
        <v>86</v>
      </c>
      <c r="G3" s="3" t="s">
        <v>133</v>
      </c>
      <c r="H3" s="3" t="s">
        <v>134</v>
      </c>
      <c r="I3" s="3" t="s">
        <v>135</v>
      </c>
      <c r="J3" s="3" t="s">
        <v>136</v>
      </c>
      <c r="K3" s="3" t="s">
        <v>33</v>
      </c>
      <c r="L3" s="3" t="s">
        <v>97</v>
      </c>
    </row>
    <row r="4" spans="1:12" x14ac:dyDescent="0.4">
      <c r="A4" s="4">
        <v>1</v>
      </c>
      <c r="B4" s="4" t="s">
        <v>8</v>
      </c>
      <c r="C4" s="4" t="s">
        <v>137</v>
      </c>
      <c r="D4" s="4" t="s">
        <v>138</v>
      </c>
      <c r="E4" s="5">
        <v>2007</v>
      </c>
      <c r="F4" s="5">
        <v>6234</v>
      </c>
      <c r="G4" s="5">
        <v>700</v>
      </c>
      <c r="H4" s="5">
        <v>56</v>
      </c>
      <c r="I4" s="5">
        <v>768</v>
      </c>
      <c r="J4" s="5">
        <v>483</v>
      </c>
      <c r="K4" s="4" t="s">
        <v>35</v>
      </c>
      <c r="L4" s="4" t="s">
        <v>139</v>
      </c>
    </row>
    <row r="5" spans="1:12" x14ac:dyDescent="0.4">
      <c r="A5" s="4">
        <v>2</v>
      </c>
      <c r="B5" s="4" t="s">
        <v>8</v>
      </c>
      <c r="C5" s="4" t="s">
        <v>140</v>
      </c>
      <c r="D5" s="4" t="s">
        <v>141</v>
      </c>
      <c r="E5" s="5">
        <v>382</v>
      </c>
      <c r="F5" s="5">
        <v>1586</v>
      </c>
      <c r="G5" s="5">
        <v>132</v>
      </c>
      <c r="H5" s="5">
        <v>100</v>
      </c>
      <c r="I5" s="5">
        <v>66</v>
      </c>
      <c r="J5" s="5">
        <v>84</v>
      </c>
      <c r="K5" s="4" t="s">
        <v>35</v>
      </c>
      <c r="L5" s="4" t="s">
        <v>139</v>
      </c>
    </row>
    <row r="6" spans="1:12" x14ac:dyDescent="0.4">
      <c r="A6" s="4">
        <v>3</v>
      </c>
      <c r="B6" s="4" t="s">
        <v>8</v>
      </c>
      <c r="C6" s="4" t="s">
        <v>142</v>
      </c>
      <c r="D6" s="4" t="s">
        <v>143</v>
      </c>
      <c r="E6" s="5">
        <v>350</v>
      </c>
      <c r="F6" s="5">
        <v>1661</v>
      </c>
      <c r="G6" s="5">
        <v>124</v>
      </c>
      <c r="H6" s="5">
        <v>49</v>
      </c>
      <c r="I6" s="5">
        <v>42</v>
      </c>
      <c r="J6" s="5">
        <v>135</v>
      </c>
      <c r="K6" s="4" t="s">
        <v>34</v>
      </c>
      <c r="L6" s="4" t="s">
        <v>139</v>
      </c>
    </row>
    <row r="7" spans="1:12" x14ac:dyDescent="0.4">
      <c r="A7" s="4">
        <v>4</v>
      </c>
      <c r="B7" s="4" t="s">
        <v>8</v>
      </c>
      <c r="C7" s="4" t="s">
        <v>144</v>
      </c>
      <c r="D7" s="4" t="s">
        <v>145</v>
      </c>
      <c r="E7" s="5">
        <v>291</v>
      </c>
      <c r="F7" s="5">
        <v>331</v>
      </c>
      <c r="G7" s="5">
        <v>193</v>
      </c>
      <c r="H7" s="5">
        <v>41</v>
      </c>
      <c r="I7" s="5">
        <v>56</v>
      </c>
      <c r="J7" s="5">
        <v>1</v>
      </c>
      <c r="K7" s="4" t="s">
        <v>34</v>
      </c>
      <c r="L7" s="4" t="s">
        <v>139</v>
      </c>
    </row>
    <row r="8" spans="1:12" x14ac:dyDescent="0.4">
      <c r="A8" s="4">
        <v>5</v>
      </c>
      <c r="B8" s="4" t="s">
        <v>8</v>
      </c>
      <c r="C8" s="4" t="s">
        <v>146</v>
      </c>
      <c r="D8" s="4" t="s">
        <v>147</v>
      </c>
      <c r="E8" s="5">
        <v>271</v>
      </c>
      <c r="F8" s="5">
        <v>1139</v>
      </c>
      <c r="G8" s="5">
        <v>102</v>
      </c>
      <c r="H8" s="5">
        <v>14</v>
      </c>
      <c r="I8" s="5">
        <v>30</v>
      </c>
      <c r="J8" s="5">
        <v>125</v>
      </c>
      <c r="K8" s="4" t="s">
        <v>35</v>
      </c>
      <c r="L8" s="4" t="s">
        <v>139</v>
      </c>
    </row>
    <row r="9" spans="1:12" x14ac:dyDescent="0.4">
      <c r="A9" s="4">
        <v>6</v>
      </c>
      <c r="B9" s="4" t="s">
        <v>8</v>
      </c>
      <c r="C9" s="4" t="s">
        <v>148</v>
      </c>
      <c r="D9" s="4" t="s">
        <v>149</v>
      </c>
      <c r="E9" s="5">
        <v>270</v>
      </c>
      <c r="F9" s="5">
        <v>750</v>
      </c>
      <c r="G9" s="5">
        <v>32</v>
      </c>
      <c r="H9" s="5">
        <v>31</v>
      </c>
      <c r="I9" s="5">
        <v>6</v>
      </c>
      <c r="J9" s="5">
        <v>201</v>
      </c>
      <c r="K9" s="4" t="s">
        <v>35</v>
      </c>
      <c r="L9" s="4"/>
    </row>
    <row r="10" spans="1:12" x14ac:dyDescent="0.4">
      <c r="A10" s="4">
        <v>7</v>
      </c>
      <c r="B10" s="4" t="s">
        <v>8</v>
      </c>
      <c r="C10" s="4" t="s">
        <v>150</v>
      </c>
      <c r="D10" s="4" t="s">
        <v>151</v>
      </c>
      <c r="E10" s="5">
        <v>257</v>
      </c>
      <c r="F10" s="5">
        <v>923</v>
      </c>
      <c r="G10" s="5">
        <v>37</v>
      </c>
      <c r="H10" s="5">
        <v>52</v>
      </c>
      <c r="I10" s="5">
        <v>6</v>
      </c>
      <c r="J10" s="5">
        <v>162</v>
      </c>
      <c r="K10" s="4" t="s">
        <v>35</v>
      </c>
      <c r="L10" s="4" t="s">
        <v>139</v>
      </c>
    </row>
    <row r="11" spans="1:12" x14ac:dyDescent="0.4">
      <c r="A11" s="4">
        <v>8</v>
      </c>
      <c r="B11" s="4" t="s">
        <v>8</v>
      </c>
      <c r="C11" s="4" t="s">
        <v>152</v>
      </c>
      <c r="D11" s="4" t="s">
        <v>153</v>
      </c>
      <c r="E11" s="5">
        <v>218</v>
      </c>
      <c r="F11" s="5">
        <v>1043</v>
      </c>
      <c r="G11" s="5">
        <v>74</v>
      </c>
      <c r="H11" s="5">
        <v>10</v>
      </c>
      <c r="I11" s="5">
        <v>49</v>
      </c>
      <c r="J11" s="5">
        <v>85</v>
      </c>
      <c r="K11" s="4" t="s">
        <v>35</v>
      </c>
      <c r="L11" s="4" t="s">
        <v>139</v>
      </c>
    </row>
    <row r="12" spans="1:12" x14ac:dyDescent="0.4">
      <c r="A12" s="4">
        <v>9</v>
      </c>
      <c r="B12" s="4" t="s">
        <v>8</v>
      </c>
      <c r="C12" s="4" t="s">
        <v>154</v>
      </c>
      <c r="D12" s="4" t="s">
        <v>155</v>
      </c>
      <c r="E12" s="5">
        <v>212</v>
      </c>
      <c r="F12" s="5">
        <v>1055</v>
      </c>
      <c r="G12" s="5">
        <v>77</v>
      </c>
      <c r="H12" s="5">
        <v>24</v>
      </c>
      <c r="I12" s="5">
        <v>42</v>
      </c>
      <c r="J12" s="5">
        <v>69</v>
      </c>
      <c r="K12" s="4" t="s">
        <v>35</v>
      </c>
      <c r="L12" s="4" t="s">
        <v>139</v>
      </c>
    </row>
    <row r="13" spans="1:12" x14ac:dyDescent="0.4">
      <c r="A13" s="4">
        <v>10</v>
      </c>
      <c r="B13" s="4" t="s">
        <v>8</v>
      </c>
      <c r="C13" s="4" t="s">
        <v>156</v>
      </c>
      <c r="D13" s="4" t="s">
        <v>157</v>
      </c>
      <c r="E13" s="5">
        <v>210</v>
      </c>
      <c r="F13" s="5">
        <v>1313</v>
      </c>
      <c r="G13" s="5">
        <v>99</v>
      </c>
      <c r="H13" s="5">
        <v>10</v>
      </c>
      <c r="I13" s="5">
        <v>85</v>
      </c>
      <c r="J13" s="5">
        <v>16</v>
      </c>
      <c r="K13" s="4" t="s">
        <v>35</v>
      </c>
      <c r="L13" s="4" t="s">
        <v>139</v>
      </c>
    </row>
    <row r="14" spans="1:12" x14ac:dyDescent="0.4">
      <c r="A14" s="4">
        <v>11</v>
      </c>
      <c r="B14" s="4" t="s">
        <v>8</v>
      </c>
      <c r="C14" s="4" t="s">
        <v>158</v>
      </c>
      <c r="D14" s="4" t="s">
        <v>159</v>
      </c>
      <c r="E14" s="5">
        <v>206</v>
      </c>
      <c r="F14" s="5">
        <v>1067</v>
      </c>
      <c r="G14" s="5">
        <v>78</v>
      </c>
      <c r="H14" s="5">
        <v>11</v>
      </c>
      <c r="I14" s="5">
        <v>40</v>
      </c>
      <c r="J14" s="5">
        <v>77</v>
      </c>
      <c r="K14" s="4" t="s">
        <v>34</v>
      </c>
      <c r="L14" s="4" t="s">
        <v>139</v>
      </c>
    </row>
    <row r="15" spans="1:12" x14ac:dyDescent="0.4">
      <c r="A15" s="4">
        <v>12</v>
      </c>
      <c r="B15" s="4" t="s">
        <v>8</v>
      </c>
      <c r="C15" s="4" t="s">
        <v>160</v>
      </c>
      <c r="D15" s="4" t="s">
        <v>161</v>
      </c>
      <c r="E15" s="5">
        <v>196</v>
      </c>
      <c r="F15" s="5">
        <v>0</v>
      </c>
      <c r="G15" s="5">
        <v>46</v>
      </c>
      <c r="H15" s="5">
        <v>20</v>
      </c>
      <c r="I15" s="5">
        <v>15</v>
      </c>
      <c r="J15" s="5">
        <v>115</v>
      </c>
      <c r="K15" s="4" t="s">
        <v>35</v>
      </c>
      <c r="L15" s="4"/>
    </row>
    <row r="16" spans="1:12" x14ac:dyDescent="0.4">
      <c r="A16" s="4">
        <v>13</v>
      </c>
      <c r="B16" s="4" t="s">
        <v>8</v>
      </c>
      <c r="C16" s="4" t="s">
        <v>162</v>
      </c>
      <c r="D16" s="4" t="s">
        <v>163</v>
      </c>
      <c r="E16" s="5">
        <v>178</v>
      </c>
      <c r="F16" s="5">
        <v>1218</v>
      </c>
      <c r="G16" s="5">
        <v>72</v>
      </c>
      <c r="H16" s="5">
        <v>35</v>
      </c>
      <c r="I16" s="5">
        <v>58</v>
      </c>
      <c r="J16" s="5">
        <v>13</v>
      </c>
      <c r="K16" s="4" t="s">
        <v>35</v>
      </c>
      <c r="L16" s="4" t="s">
        <v>139</v>
      </c>
    </row>
    <row r="17" spans="1:12" x14ac:dyDescent="0.4">
      <c r="A17" s="4">
        <v>14</v>
      </c>
      <c r="B17" s="4" t="s">
        <v>8</v>
      </c>
      <c r="C17" s="4" t="s">
        <v>164</v>
      </c>
      <c r="D17" s="4" t="s">
        <v>165</v>
      </c>
      <c r="E17" s="5">
        <v>160</v>
      </c>
      <c r="F17" s="5">
        <v>1229</v>
      </c>
      <c r="G17" s="5">
        <v>68</v>
      </c>
      <c r="H17" s="5">
        <v>7</v>
      </c>
      <c r="I17" s="5">
        <v>70</v>
      </c>
      <c r="J17" s="5">
        <v>15</v>
      </c>
      <c r="K17" s="4" t="s">
        <v>35</v>
      </c>
      <c r="L17" s="4" t="s">
        <v>139</v>
      </c>
    </row>
    <row r="18" spans="1:12" ht="25.35" x14ac:dyDescent="0.4">
      <c r="A18" s="4">
        <v>15</v>
      </c>
      <c r="B18" s="4" t="s">
        <v>8</v>
      </c>
      <c r="C18" s="4" t="s">
        <v>166</v>
      </c>
      <c r="D18" s="4" t="s">
        <v>167</v>
      </c>
      <c r="E18" s="5">
        <v>155</v>
      </c>
      <c r="F18" s="5">
        <v>1113</v>
      </c>
      <c r="G18" s="5">
        <v>32</v>
      </c>
      <c r="H18" s="5">
        <v>14</v>
      </c>
      <c r="I18" s="5">
        <v>19</v>
      </c>
      <c r="J18" s="5">
        <v>90</v>
      </c>
      <c r="K18" s="4" t="s">
        <v>35</v>
      </c>
      <c r="L18" s="4" t="s">
        <v>139</v>
      </c>
    </row>
    <row r="21" spans="1:12" ht="17.7" x14ac:dyDescent="0.55000000000000004">
      <c r="A21" s="19" t="s">
        <v>168</v>
      </c>
      <c r="B21" s="12"/>
      <c r="C21" s="12"/>
      <c r="D21" s="12"/>
      <c r="E21" s="12"/>
      <c r="F21" s="12"/>
      <c r="G21" s="12"/>
      <c r="H21" s="12"/>
      <c r="I21" s="12"/>
      <c r="J21" s="12"/>
      <c r="K21" s="12"/>
      <c r="L21" s="12"/>
    </row>
    <row r="23" spans="1:12" x14ac:dyDescent="0.4">
      <c r="A23" s="3" t="s">
        <v>130</v>
      </c>
      <c r="B23" s="3" t="s">
        <v>32</v>
      </c>
      <c r="C23" s="3" t="s">
        <v>131</v>
      </c>
      <c r="D23" s="3" t="s">
        <v>132</v>
      </c>
      <c r="E23" s="3" t="s">
        <v>12</v>
      </c>
      <c r="F23" s="3" t="s">
        <v>86</v>
      </c>
      <c r="G23" s="3" t="s">
        <v>133</v>
      </c>
      <c r="H23" s="3" t="s">
        <v>134</v>
      </c>
      <c r="I23" s="3" t="s">
        <v>135</v>
      </c>
      <c r="J23" s="3" t="s">
        <v>136</v>
      </c>
      <c r="K23" s="3" t="s">
        <v>33</v>
      </c>
      <c r="L23" s="3" t="s">
        <v>97</v>
      </c>
    </row>
    <row r="24" spans="1:12" ht="38" x14ac:dyDescent="0.4">
      <c r="A24" s="4">
        <v>1</v>
      </c>
      <c r="B24" s="4" t="s">
        <v>9</v>
      </c>
      <c r="C24" s="4" t="s">
        <v>169</v>
      </c>
      <c r="D24" s="4" t="s">
        <v>170</v>
      </c>
      <c r="E24" s="5">
        <v>80943</v>
      </c>
      <c r="F24" s="5">
        <v>809578</v>
      </c>
      <c r="G24" s="5">
        <v>35383</v>
      </c>
      <c r="H24" s="5">
        <v>1825</v>
      </c>
      <c r="I24" s="5">
        <v>3794</v>
      </c>
      <c r="J24" s="5">
        <v>43735</v>
      </c>
      <c r="K24" s="4" t="s">
        <v>35</v>
      </c>
      <c r="L24" s="4"/>
    </row>
    <row r="25" spans="1:12" ht="25.35" x14ac:dyDescent="0.4">
      <c r="A25" s="4">
        <v>2</v>
      </c>
      <c r="B25" s="4" t="s">
        <v>9</v>
      </c>
      <c r="C25" s="4" t="s">
        <v>171</v>
      </c>
      <c r="D25" s="4" t="s">
        <v>172</v>
      </c>
      <c r="E25" s="5">
        <v>5501</v>
      </c>
      <c r="F25" s="5">
        <v>55415</v>
      </c>
      <c r="G25" s="5">
        <v>2054</v>
      </c>
      <c r="H25" s="5">
        <v>141</v>
      </c>
      <c r="I25" s="5">
        <v>807</v>
      </c>
      <c r="J25" s="5">
        <v>3306</v>
      </c>
      <c r="K25" s="4" t="s">
        <v>35</v>
      </c>
      <c r="L25" s="4"/>
    </row>
    <row r="26" spans="1:12" ht="25.35" x14ac:dyDescent="0.4">
      <c r="A26" s="4">
        <v>3</v>
      </c>
      <c r="B26" s="4" t="s">
        <v>9</v>
      </c>
      <c r="C26" s="4" t="s">
        <v>173</v>
      </c>
      <c r="D26" s="4" t="s">
        <v>174</v>
      </c>
      <c r="E26" s="5">
        <v>4402</v>
      </c>
      <c r="F26" s="5">
        <v>68157</v>
      </c>
      <c r="G26" s="5">
        <v>4291</v>
      </c>
      <c r="H26" s="5">
        <v>25</v>
      </c>
      <c r="I26" s="5">
        <v>546</v>
      </c>
      <c r="J26" s="5">
        <v>86</v>
      </c>
      <c r="K26" s="4" t="s">
        <v>34</v>
      </c>
      <c r="L26" s="4" t="s">
        <v>175</v>
      </c>
    </row>
    <row r="27" spans="1:12" ht="25.35" x14ac:dyDescent="0.4">
      <c r="A27" s="4">
        <v>4</v>
      </c>
      <c r="B27" s="4" t="s">
        <v>9</v>
      </c>
      <c r="C27" s="4" t="s">
        <v>176</v>
      </c>
      <c r="D27" s="4" t="s">
        <v>177</v>
      </c>
      <c r="E27" s="5">
        <v>3691</v>
      </c>
      <c r="F27" s="5">
        <v>43767</v>
      </c>
      <c r="G27" s="5">
        <v>2638</v>
      </c>
      <c r="H27" s="5">
        <v>93</v>
      </c>
      <c r="I27" s="5">
        <v>349</v>
      </c>
      <c r="J27" s="5">
        <v>960</v>
      </c>
      <c r="K27" s="4" t="s">
        <v>35</v>
      </c>
      <c r="L27" s="4" t="s">
        <v>139</v>
      </c>
    </row>
    <row r="28" spans="1:12" ht="38" x14ac:dyDescent="0.4">
      <c r="A28" s="4">
        <v>5</v>
      </c>
      <c r="B28" s="4" t="s">
        <v>9</v>
      </c>
      <c r="C28" s="4" t="s">
        <v>178</v>
      </c>
      <c r="D28" s="4" t="s">
        <v>179</v>
      </c>
      <c r="E28" s="5">
        <v>3664</v>
      </c>
      <c r="F28" s="5">
        <v>36644</v>
      </c>
      <c r="G28" s="5">
        <v>3408</v>
      </c>
      <c r="H28" s="5">
        <v>57</v>
      </c>
      <c r="I28" s="5">
        <v>252</v>
      </c>
      <c r="J28" s="5">
        <v>199</v>
      </c>
      <c r="K28" s="4" t="s">
        <v>34</v>
      </c>
      <c r="L28" s="4"/>
    </row>
    <row r="29" spans="1:12" ht="38" x14ac:dyDescent="0.4">
      <c r="A29" s="4">
        <v>6</v>
      </c>
      <c r="B29" s="4" t="s">
        <v>9</v>
      </c>
      <c r="C29" s="4" t="s">
        <v>180</v>
      </c>
      <c r="D29" s="4" t="s">
        <v>181</v>
      </c>
      <c r="E29" s="5">
        <v>3446</v>
      </c>
      <c r="F29" s="5">
        <v>35249</v>
      </c>
      <c r="G29" s="5">
        <v>2391</v>
      </c>
      <c r="H29" s="5">
        <v>49</v>
      </c>
      <c r="I29" s="5">
        <v>132</v>
      </c>
      <c r="J29" s="5">
        <v>1006</v>
      </c>
      <c r="K29" s="4" t="s">
        <v>35</v>
      </c>
      <c r="L29" s="4" t="s">
        <v>139</v>
      </c>
    </row>
    <row r="30" spans="1:12" ht="38" x14ac:dyDescent="0.4">
      <c r="A30" s="4">
        <v>7</v>
      </c>
      <c r="B30" s="4" t="s">
        <v>9</v>
      </c>
      <c r="C30" s="4" t="s">
        <v>182</v>
      </c>
      <c r="D30" s="4" t="s">
        <v>183</v>
      </c>
      <c r="E30" s="5">
        <v>3413</v>
      </c>
      <c r="F30" s="5">
        <v>0</v>
      </c>
      <c r="G30" s="5">
        <v>2039</v>
      </c>
      <c r="H30" s="5">
        <v>42</v>
      </c>
      <c r="I30" s="5">
        <v>1857</v>
      </c>
      <c r="J30" s="5">
        <v>1332</v>
      </c>
      <c r="K30" s="4" t="s">
        <v>36</v>
      </c>
      <c r="L30" s="4"/>
    </row>
    <row r="31" spans="1:12" ht="25.35" x14ac:dyDescent="0.4">
      <c r="A31" s="4">
        <v>8</v>
      </c>
      <c r="B31" s="4" t="s">
        <v>9</v>
      </c>
      <c r="C31" s="4" t="s">
        <v>184</v>
      </c>
      <c r="D31" s="4" t="s">
        <v>185</v>
      </c>
      <c r="E31" s="5">
        <v>2900</v>
      </c>
      <c r="F31" s="5">
        <v>47566</v>
      </c>
      <c r="G31" s="5">
        <v>2133</v>
      </c>
      <c r="H31" s="5">
        <v>15</v>
      </c>
      <c r="I31" s="5">
        <v>21</v>
      </c>
      <c r="J31" s="5">
        <v>752</v>
      </c>
      <c r="K31" s="4" t="s">
        <v>35</v>
      </c>
      <c r="L31" s="4" t="s">
        <v>175</v>
      </c>
    </row>
    <row r="32" spans="1:12" ht="38" x14ac:dyDescent="0.4">
      <c r="A32" s="4">
        <v>9</v>
      </c>
      <c r="B32" s="4" t="s">
        <v>9</v>
      </c>
      <c r="C32" s="4" t="s">
        <v>186</v>
      </c>
      <c r="D32" s="4" t="s">
        <v>187</v>
      </c>
      <c r="E32" s="5">
        <v>2807</v>
      </c>
      <c r="F32" s="5">
        <v>28490</v>
      </c>
      <c r="G32" s="5">
        <v>1612</v>
      </c>
      <c r="H32" s="5">
        <v>54</v>
      </c>
      <c r="I32" s="5">
        <v>925</v>
      </c>
      <c r="J32" s="5">
        <v>1141</v>
      </c>
      <c r="K32" s="4" t="s">
        <v>35</v>
      </c>
      <c r="L32" s="4"/>
    </row>
    <row r="33" spans="1:12" ht="38" x14ac:dyDescent="0.4">
      <c r="A33" s="4">
        <v>10</v>
      </c>
      <c r="B33" s="4" t="s">
        <v>9</v>
      </c>
      <c r="C33" s="4" t="s">
        <v>188</v>
      </c>
      <c r="D33" s="4" t="s">
        <v>189</v>
      </c>
      <c r="E33" s="5">
        <v>2615</v>
      </c>
      <c r="F33" s="5">
        <v>30250</v>
      </c>
      <c r="G33" s="5">
        <v>1646</v>
      </c>
      <c r="H33" s="5">
        <v>49</v>
      </c>
      <c r="I33" s="5">
        <v>292</v>
      </c>
      <c r="J33" s="5">
        <v>920</v>
      </c>
      <c r="K33" s="4" t="s">
        <v>34</v>
      </c>
      <c r="L33" s="4" t="s">
        <v>139</v>
      </c>
    </row>
    <row r="34" spans="1:12" ht="38" x14ac:dyDescent="0.4">
      <c r="A34" s="4">
        <v>11</v>
      </c>
      <c r="B34" s="4" t="s">
        <v>9</v>
      </c>
      <c r="C34" s="4" t="s">
        <v>190</v>
      </c>
      <c r="D34" s="4" t="s">
        <v>191</v>
      </c>
      <c r="E34" s="5">
        <v>2612</v>
      </c>
      <c r="F34" s="5">
        <v>29244</v>
      </c>
      <c r="G34" s="5">
        <v>1128</v>
      </c>
      <c r="H34" s="5">
        <v>40</v>
      </c>
      <c r="I34" s="5">
        <v>166</v>
      </c>
      <c r="J34" s="5">
        <v>1444</v>
      </c>
      <c r="K34" s="4" t="s">
        <v>34</v>
      </c>
      <c r="L34" s="4" t="s">
        <v>139</v>
      </c>
    </row>
    <row r="35" spans="1:12" ht="25.35" x14ac:dyDescent="0.4">
      <c r="A35" s="4">
        <v>12</v>
      </c>
      <c r="B35" s="4" t="s">
        <v>9</v>
      </c>
      <c r="C35" s="4" t="s">
        <v>192</v>
      </c>
      <c r="D35" s="4" t="s">
        <v>193</v>
      </c>
      <c r="E35" s="5">
        <v>2455</v>
      </c>
      <c r="F35" s="5">
        <v>26078</v>
      </c>
      <c r="G35" s="5">
        <v>1185</v>
      </c>
      <c r="H35" s="5">
        <v>26</v>
      </c>
      <c r="I35" s="5">
        <v>25</v>
      </c>
      <c r="J35" s="5">
        <v>1244</v>
      </c>
      <c r="K35" s="4" t="s">
        <v>35</v>
      </c>
      <c r="L35" s="4" t="s">
        <v>139</v>
      </c>
    </row>
    <row r="36" spans="1:12" ht="38" x14ac:dyDescent="0.4">
      <c r="A36" s="4">
        <v>13</v>
      </c>
      <c r="B36" s="4" t="s">
        <v>9</v>
      </c>
      <c r="C36" s="4" t="s">
        <v>194</v>
      </c>
      <c r="D36" s="4" t="s">
        <v>195</v>
      </c>
      <c r="E36" s="5">
        <v>2297</v>
      </c>
      <c r="F36" s="5">
        <v>27148</v>
      </c>
      <c r="G36" s="5">
        <v>1228</v>
      </c>
      <c r="H36" s="5">
        <v>20</v>
      </c>
      <c r="I36" s="5">
        <v>158</v>
      </c>
      <c r="J36" s="5">
        <v>1049</v>
      </c>
      <c r="K36" s="4" t="s">
        <v>35</v>
      </c>
      <c r="L36" s="4" t="s">
        <v>139</v>
      </c>
    </row>
    <row r="37" spans="1:12" ht="25.35" x14ac:dyDescent="0.4">
      <c r="A37" s="4">
        <v>14</v>
      </c>
      <c r="B37" s="4" t="s">
        <v>9</v>
      </c>
      <c r="C37" s="4" t="s">
        <v>196</v>
      </c>
      <c r="D37" s="4" t="s">
        <v>197</v>
      </c>
      <c r="E37" s="5">
        <v>2169</v>
      </c>
      <c r="F37" s="5">
        <v>38506</v>
      </c>
      <c r="G37" s="5">
        <v>1409</v>
      </c>
      <c r="H37" s="5">
        <v>71</v>
      </c>
      <c r="I37" s="5">
        <v>153</v>
      </c>
      <c r="J37" s="5">
        <v>689</v>
      </c>
      <c r="K37" s="4" t="s">
        <v>34</v>
      </c>
      <c r="L37" s="4" t="s">
        <v>175</v>
      </c>
    </row>
    <row r="38" spans="1:12" x14ac:dyDescent="0.4">
      <c r="A38" s="4">
        <v>15</v>
      </c>
      <c r="B38" s="4" t="s">
        <v>9</v>
      </c>
      <c r="C38" s="4" t="s">
        <v>198</v>
      </c>
      <c r="D38" s="4" t="s">
        <v>199</v>
      </c>
      <c r="E38" s="5">
        <v>2155</v>
      </c>
      <c r="F38" s="5">
        <v>37943</v>
      </c>
      <c r="G38" s="5">
        <v>1608</v>
      </c>
      <c r="H38" s="5">
        <v>25</v>
      </c>
      <c r="I38" s="5">
        <v>208</v>
      </c>
      <c r="J38" s="5">
        <v>522</v>
      </c>
      <c r="K38" s="4" t="s">
        <v>35</v>
      </c>
      <c r="L38" s="4" t="s">
        <v>175</v>
      </c>
    </row>
  </sheetData>
  <mergeCells count="2">
    <mergeCell ref="A21:L21"/>
    <mergeCell ref="A1:L1"/>
  </mergeCells>
  <phoneticPr fontId="15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A29BFE"/>
  </sheetPr>
  <dimension ref="A1:D29"/>
  <sheetViews>
    <sheetView workbookViewId="0">
      <selection sqref="A1:D1"/>
    </sheetView>
  </sheetViews>
  <sheetFormatPr defaultRowHeight="14.35" x14ac:dyDescent="0.4"/>
  <cols>
    <col min="1" max="2" width="60" customWidth="1"/>
    <col min="3" max="3" width="27" customWidth="1"/>
  </cols>
  <sheetData>
    <row r="1" spans="1:4" ht="17.7" x14ac:dyDescent="0.55000000000000004">
      <c r="A1" s="20" t="s">
        <v>200</v>
      </c>
      <c r="B1" s="12"/>
      <c r="C1" s="12"/>
      <c r="D1" s="12"/>
    </row>
    <row r="3" spans="1:4" x14ac:dyDescent="0.4">
      <c r="A3" s="1" t="s">
        <v>201</v>
      </c>
    </row>
    <row r="4" spans="1:4" x14ac:dyDescent="0.4">
      <c r="A4" s="3" t="s">
        <v>202</v>
      </c>
      <c r="B4" s="3" t="s">
        <v>203</v>
      </c>
      <c r="C4" s="3" t="s">
        <v>204</v>
      </c>
    </row>
    <row r="5" spans="1:4" x14ac:dyDescent="0.4">
      <c r="A5" s="4" t="s">
        <v>205</v>
      </c>
      <c r="B5" s="4" t="s">
        <v>206</v>
      </c>
      <c r="C5" s="4" t="s">
        <v>207</v>
      </c>
    </row>
    <row r="6" spans="1:4" x14ac:dyDescent="0.4">
      <c r="A6" s="4" t="s">
        <v>208</v>
      </c>
      <c r="B6" s="4" t="s">
        <v>209</v>
      </c>
      <c r="C6" s="4" t="s">
        <v>210</v>
      </c>
    </row>
    <row r="7" spans="1:4" x14ac:dyDescent="0.4">
      <c r="A7" s="4" t="s">
        <v>211</v>
      </c>
      <c r="B7" s="4" t="s">
        <v>212</v>
      </c>
      <c r="C7" s="4" t="s">
        <v>213</v>
      </c>
    </row>
    <row r="8" spans="1:4" x14ac:dyDescent="0.4">
      <c r="A8" s="4" t="s">
        <v>214</v>
      </c>
      <c r="B8" s="4" t="s">
        <v>215</v>
      </c>
      <c r="C8" s="4" t="s">
        <v>216</v>
      </c>
    </row>
    <row r="9" spans="1:4" x14ac:dyDescent="0.4">
      <c r="A9" s="4" t="s">
        <v>217</v>
      </c>
      <c r="B9" s="4" t="s">
        <v>218</v>
      </c>
      <c r="C9" s="4" t="s">
        <v>219</v>
      </c>
    </row>
    <row r="10" spans="1:4" x14ac:dyDescent="0.4">
      <c r="A10" s="4" t="s">
        <v>220</v>
      </c>
      <c r="B10" s="4" t="s">
        <v>221</v>
      </c>
      <c r="C10" s="4" t="s">
        <v>222</v>
      </c>
    </row>
    <row r="11" spans="1:4" x14ac:dyDescent="0.4">
      <c r="A11" s="4" t="s">
        <v>223</v>
      </c>
      <c r="B11" s="4" t="s">
        <v>224</v>
      </c>
      <c r="C11" s="4" t="s">
        <v>225</v>
      </c>
    </row>
    <row r="13" spans="1:4" x14ac:dyDescent="0.4">
      <c r="A13" s="1" t="s">
        <v>226</v>
      </c>
    </row>
    <row r="14" spans="1:4" x14ac:dyDescent="0.4">
      <c r="A14" s="3" t="s">
        <v>227</v>
      </c>
      <c r="B14" s="3" t="s">
        <v>228</v>
      </c>
      <c r="C14" s="3" t="s">
        <v>229</v>
      </c>
    </row>
    <row r="15" spans="1:4" x14ac:dyDescent="0.4">
      <c r="A15" s="4" t="s">
        <v>230</v>
      </c>
      <c r="B15" s="4" t="s">
        <v>231</v>
      </c>
      <c r="C15" s="4" t="s">
        <v>232</v>
      </c>
    </row>
    <row r="16" spans="1:4" x14ac:dyDescent="0.4">
      <c r="A16" s="4" t="s">
        <v>233</v>
      </c>
      <c r="B16" s="4" t="s">
        <v>234</v>
      </c>
      <c r="C16" s="4" t="s">
        <v>235</v>
      </c>
    </row>
    <row r="17" spans="1:3" x14ac:dyDescent="0.4">
      <c r="A17" s="4" t="s">
        <v>236</v>
      </c>
      <c r="B17" s="4" t="s">
        <v>237</v>
      </c>
      <c r="C17" s="4" t="s">
        <v>238</v>
      </c>
    </row>
    <row r="19" spans="1:3" x14ac:dyDescent="0.4">
      <c r="A19" s="1" t="s">
        <v>239</v>
      </c>
    </row>
    <row r="20" spans="1:3" x14ac:dyDescent="0.4">
      <c r="A20" s="3" t="s">
        <v>240</v>
      </c>
      <c r="B20" s="3" t="s">
        <v>241</v>
      </c>
    </row>
    <row r="21" spans="1:3" x14ac:dyDescent="0.4">
      <c r="A21" s="4" t="s">
        <v>242</v>
      </c>
      <c r="B21" s="4" t="s">
        <v>243</v>
      </c>
    </row>
    <row r="22" spans="1:3" x14ac:dyDescent="0.4">
      <c r="A22" s="4" t="s">
        <v>244</v>
      </c>
      <c r="B22" s="4" t="s">
        <v>245</v>
      </c>
    </row>
    <row r="23" spans="1:3" x14ac:dyDescent="0.4">
      <c r="A23" s="4" t="s">
        <v>246</v>
      </c>
      <c r="B23" s="4" t="s">
        <v>247</v>
      </c>
    </row>
    <row r="24" spans="1:3" x14ac:dyDescent="0.4">
      <c r="A24" s="4" t="s">
        <v>248</v>
      </c>
      <c r="B24" s="4" t="s">
        <v>249</v>
      </c>
    </row>
    <row r="25" spans="1:3" x14ac:dyDescent="0.4">
      <c r="A25" s="4" t="s">
        <v>250</v>
      </c>
      <c r="B25" s="4" t="s">
        <v>251</v>
      </c>
    </row>
    <row r="27" spans="1:3" x14ac:dyDescent="0.4">
      <c r="A27" s="1" t="s">
        <v>252</v>
      </c>
    </row>
    <row r="28" spans="1:3" x14ac:dyDescent="0.4">
      <c r="A28" s="9" t="s">
        <v>253</v>
      </c>
    </row>
    <row r="29" spans="1:3" x14ac:dyDescent="0.4">
      <c r="A29" s="9" t="s">
        <v>254</v>
      </c>
    </row>
  </sheetData>
  <mergeCells count="1">
    <mergeCell ref="A1:D1"/>
  </mergeCells>
  <phoneticPr fontId="15" type="noConversion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636E72"/>
  </sheetPr>
  <dimension ref="A1:B15"/>
  <sheetViews>
    <sheetView workbookViewId="0">
      <selection sqref="A1:B1"/>
    </sheetView>
  </sheetViews>
  <sheetFormatPr defaultRowHeight="14.35" x14ac:dyDescent="0.4"/>
  <cols>
    <col min="1" max="1" width="15" customWidth="1"/>
    <col min="2" max="2" width="70" customWidth="1"/>
  </cols>
  <sheetData>
    <row r="1" spans="1:2" ht="17.7" x14ac:dyDescent="0.55000000000000004">
      <c r="A1" s="21" t="s">
        <v>255</v>
      </c>
      <c r="B1" s="12"/>
    </row>
    <row r="3" spans="1:2" x14ac:dyDescent="0.4">
      <c r="A3" s="3" t="s">
        <v>256</v>
      </c>
      <c r="B3" s="3" t="s">
        <v>257</v>
      </c>
    </row>
    <row r="4" spans="1:2" x14ac:dyDescent="0.4">
      <c r="A4" s="4" t="s">
        <v>3</v>
      </c>
      <c r="B4" s="4" t="s">
        <v>258</v>
      </c>
    </row>
    <row r="5" spans="1:2" ht="38" x14ac:dyDescent="0.4">
      <c r="A5" s="4" t="s">
        <v>259</v>
      </c>
      <c r="B5" s="4" t="s">
        <v>260</v>
      </c>
    </row>
    <row r="6" spans="1:2" x14ac:dyDescent="0.4">
      <c r="A6" s="4" t="s">
        <v>5</v>
      </c>
      <c r="B6" s="4" t="s">
        <v>261</v>
      </c>
    </row>
    <row r="7" spans="1:2" x14ac:dyDescent="0.4">
      <c r="A7" s="4" t="s">
        <v>262</v>
      </c>
      <c r="B7" s="4" t="s">
        <v>263</v>
      </c>
    </row>
    <row r="8" spans="1:2" x14ac:dyDescent="0.4">
      <c r="A8" s="4" t="s">
        <v>264</v>
      </c>
      <c r="B8" s="4" t="s">
        <v>265</v>
      </c>
    </row>
    <row r="9" spans="1:2" x14ac:dyDescent="0.4">
      <c r="A9" s="4" t="s">
        <v>266</v>
      </c>
      <c r="B9" s="4" t="s">
        <v>267</v>
      </c>
    </row>
    <row r="10" spans="1:2" x14ac:dyDescent="0.4">
      <c r="A10" s="4" t="s">
        <v>268</v>
      </c>
      <c r="B10" s="4" t="s">
        <v>269</v>
      </c>
    </row>
    <row r="11" spans="1:2" x14ac:dyDescent="0.4">
      <c r="A11" s="4" t="s">
        <v>270</v>
      </c>
      <c r="B11" s="4" t="s">
        <v>271</v>
      </c>
    </row>
    <row r="12" spans="1:2" x14ac:dyDescent="0.4">
      <c r="A12" s="4" t="s">
        <v>272</v>
      </c>
      <c r="B12" s="4" t="s">
        <v>273</v>
      </c>
    </row>
    <row r="13" spans="1:2" x14ac:dyDescent="0.4">
      <c r="A13" s="4" t="s">
        <v>274</v>
      </c>
      <c r="B13" s="4" t="s">
        <v>275</v>
      </c>
    </row>
    <row r="14" spans="1:2" ht="63.35" x14ac:dyDescent="0.4">
      <c r="A14" s="4" t="s">
        <v>276</v>
      </c>
      <c r="B14" s="4" t="s">
        <v>277</v>
      </c>
    </row>
    <row r="15" spans="1:2" x14ac:dyDescent="0.4">
      <c r="A15" s="4" t="s">
        <v>278</v>
      </c>
      <c r="B15" s="4" t="s">
        <v>279</v>
      </c>
    </row>
  </sheetData>
  <mergeCells count="1">
    <mergeCell ref="A1:B1"/>
  </mergeCells>
  <phoneticPr fontId="1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综合概览</vt:lpstr>
      <vt:lpstr>情感分析</vt:lpstr>
      <vt:lpstr>日趋势</vt:lpstr>
      <vt:lpstr>内容类型与达人</vt:lpstr>
      <vt:lpstr>地域分布</vt:lpstr>
      <vt:lpstr>热门帖子TOP</vt:lpstr>
      <vt:lpstr>舆情洞察</vt:lpstr>
      <vt:lpstr>方法论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xiaofei yang</cp:lastModifiedBy>
  <dcterms:created xsi:type="dcterms:W3CDTF">2026-07-30T11:30:22Z</dcterms:created>
  <dcterms:modified xsi:type="dcterms:W3CDTF">2026-07-30T11:49:40Z</dcterms:modified>
</cp:coreProperties>
</file>